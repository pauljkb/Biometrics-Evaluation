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eitz\Documents\Biometrics-Evaluation\"/>
    </mc:Choice>
  </mc:AlternateContent>
  <xr:revisionPtr revIDLastSave="0" documentId="8_{616B76ED-730E-429F-BF7E-741BC09F93BC}" xr6:coauthVersionLast="47" xr6:coauthVersionMax="47" xr10:uidLastSave="{00000000-0000-0000-0000-000000000000}"/>
  <bookViews>
    <workbookView xWindow="28680" yWindow="-120" windowWidth="29040" windowHeight="15720" xr2:uid="{00000000-000D-0000-FFFF-FFFF00000000}"/>
  </bookViews>
  <sheets>
    <sheet name="Feuil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5" i="1" l="1"/>
  <c r="J103" i="1"/>
  <c r="J102" i="1"/>
  <c r="J101" i="1"/>
  <c r="J100" i="1"/>
  <c r="J99" i="1"/>
  <c r="J98" i="1"/>
  <c r="J97" i="1"/>
  <c r="J95" i="1"/>
  <c r="J94" i="1"/>
  <c r="J93" i="1"/>
  <c r="J92" i="1"/>
  <c r="J91" i="1"/>
  <c r="J90" i="1"/>
  <c r="J89" i="1"/>
  <c r="J88" i="1"/>
  <c r="J87" i="1"/>
  <c r="J85" i="1"/>
  <c r="J84" i="1"/>
  <c r="J83" i="1"/>
  <c r="J82" i="1"/>
  <c r="J79" i="1"/>
  <c r="J78" i="1"/>
  <c r="J77" i="1"/>
  <c r="J72" i="1"/>
  <c r="J71" i="1"/>
  <c r="J70" i="1"/>
  <c r="J69" i="1"/>
  <c r="J67" i="1"/>
  <c r="J66" i="1"/>
  <c r="J64" i="1"/>
  <c r="J63" i="1"/>
  <c r="J61" i="1"/>
  <c r="J60" i="1"/>
  <c r="J59" i="1"/>
  <c r="J57" i="1"/>
  <c r="J56" i="1"/>
  <c r="J55" i="1"/>
  <c r="J53" i="1"/>
  <c r="J51" i="1"/>
  <c r="J50" i="1"/>
  <c r="J48" i="1"/>
  <c r="J47" i="1"/>
  <c r="J45" i="1"/>
  <c r="J44" i="1"/>
  <c r="J42" i="1"/>
  <c r="J41" i="1"/>
  <c r="J39" i="1"/>
  <c r="J38" i="1"/>
  <c r="J36" i="1"/>
  <c r="J35" i="1"/>
  <c r="J33" i="1"/>
  <c r="J32" i="1"/>
  <c r="J30" i="1"/>
  <c r="J29" i="1"/>
  <c r="J27" i="1"/>
  <c r="J26" i="1"/>
  <c r="J25" i="1"/>
  <c r="J23" i="1"/>
  <c r="J22" i="1"/>
  <c r="J21" i="1"/>
  <c r="J19" i="1"/>
  <c r="J15" i="1"/>
  <c r="J11" i="1"/>
  <c r="J10" i="1"/>
  <c r="J8" i="1"/>
  <c r="J7" i="1"/>
  <c r="J6" i="1"/>
  <c r="J5" i="1"/>
  <c r="J4" i="1"/>
</calcChain>
</file>

<file path=xl/sharedStrings.xml><?xml version="1.0" encoding="utf-8"?>
<sst xmlns="http://schemas.openxmlformats.org/spreadsheetml/2006/main" count="667" uniqueCount="304">
  <si>
    <t>Model</t>
  </si>
  <si>
    <t>Loss</t>
  </si>
  <si>
    <t>Training Dataset</t>
  </si>
  <si>
    <t>Description</t>
  </si>
  <si>
    <t>Evaluation</t>
  </si>
  <si>
    <t>LFW</t>
  </si>
  <si>
    <t>CFP-FP</t>
  </si>
  <si>
    <t>AgeDB-30</t>
  </si>
  <si>
    <t>CALFW</t>
  </si>
  <si>
    <t>CPLFW</t>
  </si>
  <si>
    <t>Avg.</t>
  </si>
  <si>
    <t>IJB-B</t>
  </si>
  <si>
    <t>IJB-C</t>
  </si>
  <si>
    <t>TinyFace</t>
  </si>
  <si>
    <t>Comments</t>
  </si>
  <si>
    <t>Rank-1</t>
  </si>
  <si>
    <t>Rank-5</t>
  </si>
  <si>
    <t>ViT-S</t>
  </si>
  <si>
    <t>CosFace</t>
  </si>
  <si>
    <t>Web4M</t>
  </si>
  <si>
    <t>1 Attention Head (AH) - AH Dimension 512</t>
  </si>
  <si>
    <t>4 AH - AHD 128</t>
  </si>
  <si>
    <t xml:space="preserve">95.51 </t>
  </si>
  <si>
    <t>91.13</t>
  </si>
  <si>
    <t xml:space="preserve">97.05 </t>
  </si>
  <si>
    <t>94.85</t>
  </si>
  <si>
    <t>8 AH - AHD 64</t>
  </si>
  <si>
    <t xml:space="preserve">95.52 </t>
  </si>
  <si>
    <t>91.31</t>
  </si>
  <si>
    <t>97.02</t>
  </si>
  <si>
    <t>94.90</t>
  </si>
  <si>
    <t>16 AH - AHD 64</t>
  </si>
  <si>
    <t>95.51</t>
  </si>
  <si>
    <t>91.12</t>
  </si>
  <si>
    <t>94.81</t>
  </si>
  <si>
    <t>32 AH  - AHD 32</t>
  </si>
  <si>
    <t>90.91</t>
  </si>
  <si>
    <t>97.08</t>
  </si>
  <si>
    <t>94.79</t>
  </si>
  <si>
    <t>Decorrelation Layers (fixed weight)</t>
  </si>
  <si>
    <t>4 AH</t>
  </si>
  <si>
    <r>
      <rPr>
        <sz val="10"/>
        <color theme="1"/>
        <rFont val="Arial"/>
      </rPr>
      <t>4 AH -</t>
    </r>
    <r>
      <rPr>
        <sz val="10"/>
        <color rgb="FFFF0000"/>
        <rFont val="Arial"/>
      </rPr>
      <t xml:space="preserve"> L</t>
    </r>
    <r>
      <rPr>
        <b/>
        <sz val="10"/>
        <color rgb="FFFF0000"/>
        <rFont val="Arial"/>
      </rPr>
      <t>0_to_2</t>
    </r>
    <r>
      <rPr>
        <sz val="10"/>
        <color theme="1"/>
        <rFont val="Arial"/>
      </rPr>
      <t xml:space="preserve"> W_150 (E)</t>
    </r>
  </si>
  <si>
    <t>95.58</t>
  </si>
  <si>
    <t>91.40</t>
  </si>
  <si>
    <t xml:space="preserve">97.11 </t>
  </si>
  <si>
    <r>
      <rPr>
        <sz val="10"/>
        <color theme="1"/>
        <rFont val="Arial"/>
      </rPr>
      <t>4 AH - L</t>
    </r>
    <r>
      <rPr>
        <b/>
        <sz val="10"/>
        <color rgb="FFFF0000"/>
        <rFont val="Arial"/>
      </rPr>
      <t>0_to_5</t>
    </r>
    <r>
      <rPr>
        <sz val="10"/>
        <color theme="1"/>
        <rFont val="Arial"/>
      </rPr>
      <t xml:space="preserve"> W_150 (E)</t>
    </r>
  </si>
  <si>
    <r>
      <rPr>
        <sz val="10"/>
        <color theme="1"/>
        <rFont val="Arial"/>
      </rPr>
      <t>4 AH - L</t>
    </r>
    <r>
      <rPr>
        <b/>
        <sz val="10"/>
        <color rgb="FFFF0000"/>
        <rFont val="Arial"/>
      </rPr>
      <t>0_to_8</t>
    </r>
    <r>
      <rPr>
        <sz val="10"/>
        <color theme="1"/>
        <rFont val="Arial"/>
      </rPr>
      <t xml:space="preserve"> W_150 (E)</t>
    </r>
  </si>
  <si>
    <r>
      <rPr>
        <sz val="10"/>
        <color theme="1"/>
        <rFont val="Arial"/>
      </rPr>
      <t xml:space="preserve">4 AH - </t>
    </r>
    <r>
      <rPr>
        <sz val="10"/>
        <color rgb="FFFF0000"/>
        <rFont val="Arial"/>
      </rPr>
      <t>L9_10_11</t>
    </r>
    <r>
      <rPr>
        <sz val="10"/>
        <color theme="1"/>
        <rFont val="Arial"/>
      </rPr>
      <t xml:space="preserve"> W_150 (L)</t>
    </r>
  </si>
  <si>
    <t>95.69</t>
  </si>
  <si>
    <t>91.80</t>
  </si>
  <si>
    <t>97.21</t>
  </si>
  <si>
    <t>95.34</t>
  </si>
  <si>
    <r>
      <rPr>
        <sz val="10"/>
        <color theme="1"/>
        <rFont val="Arial"/>
      </rPr>
      <t xml:space="preserve">4 AH - </t>
    </r>
    <r>
      <rPr>
        <sz val="10"/>
        <color rgb="FFFF0000"/>
        <rFont val="Arial"/>
      </rPr>
      <t>L6_to_11</t>
    </r>
    <r>
      <rPr>
        <sz val="10"/>
        <color theme="1"/>
        <rFont val="Arial"/>
      </rPr>
      <t xml:space="preserve"> W_150 (L)</t>
    </r>
  </si>
  <si>
    <r>
      <rPr>
        <sz val="10"/>
        <color theme="1"/>
        <rFont val="Arial"/>
      </rPr>
      <t xml:space="preserve">4 AH - </t>
    </r>
    <r>
      <rPr>
        <sz val="10"/>
        <color rgb="FFFF0000"/>
        <rFont val="Arial"/>
      </rPr>
      <t>L3_to_11</t>
    </r>
    <r>
      <rPr>
        <sz val="10"/>
        <color theme="1"/>
        <rFont val="Arial"/>
      </rPr>
      <t xml:space="preserve"> W_150 (L)</t>
    </r>
  </si>
  <si>
    <r>
      <rPr>
        <sz val="10"/>
        <color theme="1"/>
        <rFont val="Arial"/>
      </rPr>
      <t xml:space="preserve">4 AH - </t>
    </r>
    <r>
      <rPr>
        <sz val="10"/>
        <color rgb="FFFF0000"/>
        <rFont val="Arial"/>
      </rPr>
      <t>L0 =&gt; 11</t>
    </r>
    <r>
      <rPr>
        <sz val="10"/>
        <color theme="1"/>
        <rFont val="Arial"/>
      </rPr>
      <t xml:space="preserve">  W_150 (ALL)</t>
    </r>
  </si>
  <si>
    <t>95.64</t>
  </si>
  <si>
    <t>91.24</t>
  </si>
  <si>
    <t>97.13</t>
  </si>
  <si>
    <t>95.23</t>
  </si>
  <si>
    <t>Decorrelation Weight (fixed layers)</t>
  </si>
  <si>
    <r>
      <rPr>
        <sz val="10"/>
        <color theme="1"/>
        <rFont val="Arial"/>
      </rPr>
      <t>4 AH - L0_1_2 W_</t>
    </r>
    <r>
      <rPr>
        <b/>
        <sz val="10"/>
        <color rgb="FFFF0000"/>
        <rFont val="Arial"/>
      </rPr>
      <t>1</t>
    </r>
  </si>
  <si>
    <t xml:space="preserve">95.63 </t>
  </si>
  <si>
    <t xml:space="preserve"> 91.00</t>
  </si>
  <si>
    <t>97.16</t>
  </si>
  <si>
    <t>95.18</t>
  </si>
  <si>
    <r>
      <rPr>
        <sz val="10"/>
        <color theme="1"/>
        <rFont val="Arial"/>
      </rPr>
      <t>4 AH  - L0_1_2 W_</t>
    </r>
    <r>
      <rPr>
        <b/>
        <sz val="10"/>
        <color rgb="FFFF0000"/>
        <rFont val="Arial"/>
      </rPr>
      <t>150</t>
    </r>
  </si>
  <si>
    <r>
      <rPr>
        <sz val="10"/>
        <color theme="1"/>
        <rFont val="Arial"/>
      </rPr>
      <t>4 AH - L9_10_11 W_</t>
    </r>
    <r>
      <rPr>
        <b/>
        <sz val="10"/>
        <color rgb="FFFF0000"/>
        <rFont val="Arial"/>
      </rPr>
      <t>1</t>
    </r>
  </si>
  <si>
    <t xml:space="preserve">95.54 </t>
  </si>
  <si>
    <t>91.57</t>
  </si>
  <si>
    <t>97.06</t>
  </si>
  <si>
    <r>
      <rPr>
        <sz val="10"/>
        <color theme="1"/>
        <rFont val="Arial"/>
      </rPr>
      <t>4 AH - L9_10_11 W_</t>
    </r>
    <r>
      <rPr>
        <b/>
        <sz val="10"/>
        <color rgb="FFFF0000"/>
        <rFont val="Arial"/>
      </rPr>
      <t>150</t>
    </r>
  </si>
  <si>
    <t>Decorrelation Architecture</t>
  </si>
  <si>
    <t xml:space="preserve">4 AH </t>
  </si>
  <si>
    <r>
      <rPr>
        <b/>
        <sz val="10"/>
        <color rgb="FFFF0000"/>
        <rFont val="Arial"/>
      </rPr>
      <t>4 AH</t>
    </r>
    <r>
      <rPr>
        <sz val="10"/>
        <color theme="1"/>
        <rFont val="Arial"/>
      </rPr>
      <t xml:space="preserve">  - L9_10_11 W_</t>
    </r>
    <r>
      <rPr>
        <b/>
        <sz val="10"/>
        <color rgb="FF0000FF"/>
        <rFont val="Arial"/>
      </rPr>
      <t>1</t>
    </r>
  </si>
  <si>
    <t>8 AH</t>
  </si>
  <si>
    <r>
      <rPr>
        <b/>
        <sz val="10"/>
        <color rgb="FFFF0000"/>
        <rFont val="Arial"/>
      </rPr>
      <t>8 AH</t>
    </r>
    <r>
      <rPr>
        <sz val="10"/>
        <color theme="1"/>
        <rFont val="Arial"/>
      </rPr>
      <t xml:space="preserve">  - L9_10_11 W_</t>
    </r>
    <r>
      <rPr>
        <b/>
        <sz val="10"/>
        <color rgb="FF0000FF"/>
        <rFont val="Arial"/>
      </rPr>
      <t>1</t>
    </r>
  </si>
  <si>
    <t xml:space="preserve">95.67 </t>
  </si>
  <si>
    <t>97.20</t>
  </si>
  <si>
    <t>95.31</t>
  </si>
  <si>
    <t>16 AH</t>
  </si>
  <si>
    <r>
      <rPr>
        <b/>
        <sz val="10"/>
        <color rgb="FFFF0000"/>
        <rFont val="Arial"/>
      </rPr>
      <t>16 AH</t>
    </r>
    <r>
      <rPr>
        <sz val="10"/>
        <color theme="1"/>
        <rFont val="Arial"/>
      </rPr>
      <t xml:space="preserve">  - L9_10_11 W_</t>
    </r>
    <r>
      <rPr>
        <b/>
        <sz val="10"/>
        <color rgb="FF0000FF"/>
        <rFont val="Arial"/>
      </rPr>
      <t>1</t>
    </r>
  </si>
  <si>
    <t xml:space="preserve">95.68 </t>
  </si>
  <si>
    <t>91.52</t>
  </si>
  <si>
    <t>95.12</t>
  </si>
  <si>
    <t>32 AH</t>
  </si>
  <si>
    <r>
      <rPr>
        <b/>
        <sz val="10"/>
        <color rgb="FFFF0000"/>
        <rFont val="Arial"/>
      </rPr>
      <t>32 AH</t>
    </r>
    <r>
      <rPr>
        <sz val="10"/>
        <color theme="1"/>
        <rFont val="Arial"/>
      </rPr>
      <t xml:space="preserve">  - L9_10_11 W_</t>
    </r>
    <r>
      <rPr>
        <b/>
        <sz val="10"/>
        <color rgb="FF0000FF"/>
        <rFont val="Arial"/>
      </rPr>
      <t>1</t>
    </r>
  </si>
  <si>
    <t>95.71</t>
  </si>
  <si>
    <t>91.54</t>
  </si>
  <si>
    <t>95.28</t>
  </si>
  <si>
    <r>
      <rPr>
        <b/>
        <sz val="10"/>
        <color rgb="FFFF0000"/>
        <rFont val="Arial"/>
      </rPr>
      <t>4 AH</t>
    </r>
    <r>
      <rPr>
        <sz val="10"/>
        <color theme="1"/>
        <rFont val="Arial"/>
      </rPr>
      <t xml:space="preserve">  - L9_10_11 W_</t>
    </r>
    <r>
      <rPr>
        <b/>
        <sz val="10"/>
        <color rgb="FFFF9900"/>
        <rFont val="Arial"/>
      </rPr>
      <t>150</t>
    </r>
  </si>
  <si>
    <r>
      <rPr>
        <b/>
        <sz val="10"/>
        <color rgb="FFFF0000"/>
        <rFont val="Arial"/>
      </rPr>
      <t>8 AH</t>
    </r>
    <r>
      <rPr>
        <sz val="10"/>
        <color theme="1"/>
        <rFont val="Arial"/>
      </rPr>
      <t xml:space="preserve">  - L9_10_11 W_</t>
    </r>
    <r>
      <rPr>
        <b/>
        <sz val="10"/>
        <color rgb="FFFF9900"/>
        <rFont val="Arial"/>
      </rPr>
      <t>150</t>
    </r>
  </si>
  <si>
    <t xml:space="preserve">95.71 </t>
  </si>
  <si>
    <t>91.88</t>
  </si>
  <si>
    <t xml:space="preserve">97.23 </t>
  </si>
  <si>
    <t>95.35</t>
  </si>
  <si>
    <r>
      <rPr>
        <b/>
        <sz val="10"/>
        <color rgb="FFFF0000"/>
        <rFont val="Arial"/>
      </rPr>
      <t>16 AH</t>
    </r>
    <r>
      <rPr>
        <sz val="10"/>
        <color theme="1"/>
        <rFont val="Arial"/>
      </rPr>
      <t xml:space="preserve">  - L9_10_11 W_</t>
    </r>
    <r>
      <rPr>
        <b/>
        <sz val="10"/>
        <color rgb="FFFF9900"/>
        <rFont val="Arial"/>
      </rPr>
      <t>150</t>
    </r>
  </si>
  <si>
    <t>95.90</t>
  </si>
  <si>
    <t>92.04</t>
  </si>
  <si>
    <t xml:space="preserve">97.29 </t>
  </si>
  <si>
    <t>95.42</t>
  </si>
  <si>
    <r>
      <rPr>
        <b/>
        <sz val="10"/>
        <color rgb="FFFF0000"/>
        <rFont val="Arial"/>
      </rPr>
      <t>32 AH</t>
    </r>
    <r>
      <rPr>
        <sz val="10"/>
        <color theme="1"/>
        <rFont val="Arial"/>
      </rPr>
      <t xml:space="preserve">  - L9_10_11 W_</t>
    </r>
    <r>
      <rPr>
        <b/>
        <sz val="10"/>
        <color rgb="FFFF9900"/>
        <rFont val="Arial"/>
      </rPr>
      <t>150</t>
    </r>
  </si>
  <si>
    <t>95.55</t>
  </si>
  <si>
    <t>91.11</t>
  </si>
  <si>
    <t>97.15</t>
  </si>
  <si>
    <t>95.21</t>
  </si>
  <si>
    <t>Adaptive weight for Loss</t>
  </si>
  <si>
    <t>Following CVPRW paper: Computes the cosine similarity between every pair of attention heads across attention maps, and penalizes pairs that are similar. The intuition is that if two heads attend to the same regions, one of them is redundant: we force each head to specialize in a different spatial pattern, maximizing the diversity of information captured across heads and making the concatenated patch representation richer for identity discrimination.</t>
  </si>
  <si>
    <r>
      <rPr>
        <b/>
        <sz val="10"/>
        <color rgb="FFFF0000"/>
        <rFont val="Arial"/>
      </rPr>
      <t>16 AH</t>
    </r>
    <r>
      <rPr>
        <sz val="10"/>
        <color theme="1"/>
        <rFont val="Arial"/>
      </rPr>
      <t xml:space="preserve">  - L9_10_11 W_</t>
    </r>
    <r>
      <rPr>
        <b/>
        <sz val="10"/>
        <color rgb="FF0000FF"/>
        <rFont val="Arial"/>
      </rPr>
      <t>1</t>
    </r>
  </si>
  <si>
    <r>
      <rPr>
        <b/>
        <sz val="10"/>
        <color rgb="FFFF0000"/>
        <rFont val="Arial"/>
      </rPr>
      <t>16 AH</t>
    </r>
    <r>
      <rPr>
        <sz val="10"/>
        <color theme="1"/>
        <rFont val="Arial"/>
      </rPr>
      <t xml:space="preserve">  - L9_10_11 W_</t>
    </r>
    <r>
      <rPr>
        <b/>
        <sz val="10"/>
        <color rgb="FFFF00FF"/>
        <rFont val="Arial"/>
      </rPr>
      <t>10</t>
    </r>
  </si>
  <si>
    <t>95.57</t>
  </si>
  <si>
    <t>91.75</t>
  </si>
  <si>
    <t xml:space="preserve">97.26 </t>
  </si>
  <si>
    <t>95.38</t>
  </si>
  <si>
    <r>
      <rPr>
        <b/>
        <sz val="10"/>
        <color rgb="FFFF0000"/>
        <rFont val="Arial"/>
      </rPr>
      <t>16 AH</t>
    </r>
    <r>
      <rPr>
        <sz val="10"/>
        <color theme="1"/>
        <rFont val="Arial"/>
      </rPr>
      <t xml:space="preserve">  - L9_10_11 W_</t>
    </r>
    <r>
      <rPr>
        <b/>
        <sz val="10"/>
        <color rgb="FFFF9900"/>
        <rFont val="Arial"/>
      </rPr>
      <t>150</t>
    </r>
  </si>
  <si>
    <t>Same decorrelation objective but each sample's contribution to the loss is weighted by how far its embedding is from its CosFace class center. Samples far from their center are hard, ambiguous face images that the model hasn't learned well yet, and get higher weight. The intuition is that head diversity matters most precisely on these hard samples, where having heads that cover different facial cues is what allows the model to still make the right decision.</t>
  </si>
  <si>
    <r>
      <rPr>
        <b/>
        <sz val="10"/>
        <color rgb="FFFF0000"/>
        <rFont val="Arial"/>
      </rPr>
      <t>16 AH</t>
    </r>
    <r>
      <rPr>
        <sz val="10"/>
        <color theme="1"/>
        <rFont val="Arial"/>
      </rPr>
      <t xml:space="preserve">  - L9_10_11 W_</t>
    </r>
    <r>
      <rPr>
        <b/>
        <sz val="10"/>
        <color rgb="FF0000FF"/>
        <rFont val="Arial"/>
      </rPr>
      <t>1</t>
    </r>
    <r>
      <rPr>
        <b/>
        <sz val="10"/>
        <color rgb="FFFF9900"/>
        <rFont val="Arial"/>
      </rPr>
      <t xml:space="preserve"> </t>
    </r>
    <r>
      <rPr>
        <b/>
        <sz val="10"/>
        <color rgb="FF38761D"/>
        <rFont val="Arial"/>
      </rPr>
      <t>- WADA</t>
    </r>
  </si>
  <si>
    <t xml:space="preserve">95.60 </t>
  </si>
  <si>
    <t xml:space="preserve">97.20 </t>
  </si>
  <si>
    <t xml:space="preserve"> 95.15</t>
  </si>
  <si>
    <r>
      <rPr>
        <b/>
        <sz val="10"/>
        <color rgb="FFFF0000"/>
        <rFont val="Arial"/>
      </rPr>
      <t>16 AH</t>
    </r>
    <r>
      <rPr>
        <sz val="10"/>
        <color theme="1"/>
        <rFont val="Arial"/>
      </rPr>
      <t xml:space="preserve">  - L9_10_11 W_</t>
    </r>
    <r>
      <rPr>
        <b/>
        <sz val="10"/>
        <color rgb="FFFF00FF"/>
        <rFont val="Arial"/>
      </rPr>
      <t>10</t>
    </r>
    <r>
      <rPr>
        <b/>
        <sz val="10"/>
        <color rgb="FFFF9900"/>
        <rFont val="Arial"/>
      </rPr>
      <t xml:space="preserve"> </t>
    </r>
    <r>
      <rPr>
        <b/>
        <sz val="10"/>
        <color rgb="FF38761D"/>
        <rFont val="Arial"/>
      </rPr>
      <t>- WADA</t>
    </r>
  </si>
  <si>
    <t>95.73</t>
  </si>
  <si>
    <t>91.30</t>
  </si>
  <si>
    <t>97.27</t>
  </si>
  <si>
    <t>95.41</t>
  </si>
  <si>
    <r>
      <rPr>
        <b/>
        <sz val="10"/>
        <color rgb="FFFF0000"/>
        <rFont val="Arial"/>
      </rPr>
      <t>16 AH</t>
    </r>
    <r>
      <rPr>
        <sz val="10"/>
        <color theme="1"/>
        <rFont val="Arial"/>
      </rPr>
      <t xml:space="preserve">  - L9_10_11 W_</t>
    </r>
    <r>
      <rPr>
        <b/>
        <sz val="10"/>
        <color rgb="FFFF9900"/>
        <rFont val="Arial"/>
      </rPr>
      <t xml:space="preserve">150 </t>
    </r>
    <r>
      <rPr>
        <b/>
        <sz val="10"/>
        <color rgb="FF38761D"/>
        <rFont val="Arial"/>
      </rPr>
      <t>- WADA</t>
    </r>
  </si>
  <si>
    <t>91.26</t>
  </si>
  <si>
    <t>97.10</t>
  </si>
  <si>
    <t>95.00</t>
  </si>
  <si>
    <t>Center Confusion</t>
  </si>
  <si>
    <r>
      <rPr>
        <b/>
        <sz val="10"/>
        <color rgb="FFFF0000"/>
        <rFont val="Arial"/>
      </rPr>
      <t xml:space="preserve">Baseline </t>
    </r>
    <r>
      <rPr>
        <sz val="10"/>
        <color theme="1"/>
        <rFont val="Arial"/>
      </rPr>
      <t xml:space="preserve"> - 16 AH  - L9_10_11 W_1_cendec</t>
    </r>
  </si>
  <si>
    <t xml:space="preserve">95.77 </t>
  </si>
  <si>
    <t xml:space="preserve">91.41 </t>
  </si>
  <si>
    <t>95.27</t>
  </si>
  <si>
    <r>
      <rPr>
        <b/>
        <sz val="10"/>
        <color rgb="FFFF0000"/>
        <rFont val="Arial"/>
      </rPr>
      <t xml:space="preserve">Baseline </t>
    </r>
    <r>
      <rPr>
        <sz val="10"/>
        <color theme="1"/>
        <rFont val="Arial"/>
      </rPr>
      <t xml:space="preserve"> - 16 AH  - L9_10_11 W_10_cendec</t>
    </r>
  </si>
  <si>
    <t xml:space="preserve"> 95.60</t>
  </si>
  <si>
    <t>91.67</t>
  </si>
  <si>
    <t>95.05</t>
  </si>
  <si>
    <t>Registers</t>
  </si>
  <si>
    <r>
      <rPr>
        <b/>
        <sz val="10"/>
        <color rgb="FFFF0000"/>
        <rFont val="Arial"/>
      </rPr>
      <t xml:space="preserve">Baseline </t>
    </r>
    <r>
      <rPr>
        <sz val="10"/>
        <color theme="1"/>
        <rFont val="Arial"/>
      </rPr>
      <t xml:space="preserve"> - </t>
    </r>
    <r>
      <rPr>
        <b/>
        <sz val="10"/>
        <color theme="1"/>
        <rFont val="Arial"/>
      </rPr>
      <t>8REG</t>
    </r>
  </si>
  <si>
    <r>
      <rPr>
        <b/>
        <sz val="10"/>
        <color rgb="FFFF0000"/>
        <rFont val="Arial"/>
      </rPr>
      <t>16 AH</t>
    </r>
    <r>
      <rPr>
        <sz val="10"/>
        <color theme="1"/>
        <rFont val="Arial"/>
      </rPr>
      <t xml:space="preserve">  - L9_10_11 W_150 - </t>
    </r>
    <r>
      <rPr>
        <b/>
        <sz val="10"/>
        <color theme="1"/>
        <rFont val="Arial"/>
      </rPr>
      <t>8REG</t>
    </r>
  </si>
  <si>
    <t>95.75</t>
  </si>
  <si>
    <t>92.03</t>
  </si>
  <si>
    <t>97.23</t>
  </si>
  <si>
    <t>95.39</t>
  </si>
  <si>
    <t>KPRPE pipeline (B - 16heads)</t>
  </si>
  <si>
    <t>ViT-B - KPRPE</t>
  </si>
  <si>
    <t>AdaFace</t>
  </si>
  <si>
    <t>16 AH (official release)</t>
  </si>
  <si>
    <t>95.49</t>
  </si>
  <si>
    <t>-</t>
  </si>
  <si>
    <t>75.80</t>
  </si>
  <si>
    <t>78.49</t>
  </si>
  <si>
    <t>16AH (retrained)</t>
  </si>
  <si>
    <t>95.66</t>
  </si>
  <si>
    <t>91.01</t>
  </si>
  <si>
    <t>97.17</t>
  </si>
  <si>
    <t>75.51</t>
  </si>
  <si>
    <t>78.22</t>
  </si>
  <si>
    <t>web4M</t>
  </si>
  <si>
    <t>16 AH  - L18_to_23 W_1_CenDecV3</t>
  </si>
  <si>
    <t>95.70</t>
  </si>
  <si>
    <t>91.45</t>
  </si>
  <si>
    <t>95.20</t>
  </si>
  <si>
    <t>16 AH  - L21_to_23 W_1_CenDecV3</t>
  </si>
  <si>
    <t>95.74</t>
  </si>
  <si>
    <t>91.55</t>
  </si>
  <si>
    <t>97.22</t>
  </si>
  <si>
    <t>75.19</t>
  </si>
  <si>
    <t>77.68</t>
  </si>
  <si>
    <t>16 AH  - L21_to_23 W_1_CenDecV3_temp2</t>
  </si>
  <si>
    <t>MS1MV3</t>
  </si>
  <si>
    <t>16AH</t>
  </si>
  <si>
    <t>KPRPE pipeline (S - 16heads/)</t>
  </si>
  <si>
    <t>ViT-S - KPRPE</t>
  </si>
  <si>
    <t>90.75</t>
  </si>
  <si>
    <t>96.87</t>
  </si>
  <si>
    <t>94.74</t>
  </si>
  <si>
    <t>74.73</t>
  </si>
  <si>
    <t>77.66</t>
  </si>
  <si>
    <r>
      <rPr>
        <b/>
        <sz val="10"/>
        <color theme="1"/>
        <rFont val="Arial"/>
      </rPr>
      <t>16 AH</t>
    </r>
    <r>
      <rPr>
        <sz val="10"/>
        <color theme="1"/>
        <rFont val="Arial"/>
      </rPr>
      <t xml:space="preserve">  - L9_10_11 W_1_CenDecV3 - partial1.0</t>
    </r>
  </si>
  <si>
    <t>90.82</t>
  </si>
  <si>
    <t>96.98</t>
  </si>
  <si>
    <t>94.87</t>
  </si>
  <si>
    <t>74.49</t>
  </si>
  <si>
    <t>77.47</t>
  </si>
  <si>
    <t>16 AH  - L9_10_11 W_1_CenDecV3 - temperature</t>
  </si>
  <si>
    <t>95.61</t>
  </si>
  <si>
    <t>90.61</t>
  </si>
  <si>
    <t>97.0</t>
  </si>
  <si>
    <t>94.82</t>
  </si>
  <si>
    <t>Attention Heads</t>
  </si>
  <si>
    <t>MS1MV3_sub</t>
  </si>
  <si>
    <t xml:space="preserve">4AH </t>
  </si>
  <si>
    <t>84.54</t>
  </si>
  <si>
    <t>71.25</t>
  </si>
  <si>
    <t>88.54</t>
  </si>
  <si>
    <t>78.97</t>
  </si>
  <si>
    <t>66.74</t>
  </si>
  <si>
    <t>72.26</t>
  </si>
  <si>
    <t>8AH</t>
  </si>
  <si>
    <t>84.47</t>
  </si>
  <si>
    <t>71.96</t>
  </si>
  <si>
    <t>88.14</t>
  </si>
  <si>
    <t>84.46</t>
  </si>
  <si>
    <t>72.16</t>
  </si>
  <si>
    <t>88.18</t>
  </si>
  <si>
    <t>78.25</t>
  </si>
  <si>
    <t>66.12</t>
  </si>
  <si>
    <t>71.27</t>
  </si>
  <si>
    <t>32AH</t>
  </si>
  <si>
    <t>84.19</t>
  </si>
  <si>
    <t>69.15</t>
  </si>
  <si>
    <t>88.25</t>
  </si>
  <si>
    <t>66.23</t>
  </si>
  <si>
    <t>71.97</t>
  </si>
  <si>
    <t>Approach</t>
  </si>
  <si>
    <r>
      <rPr>
        <b/>
        <sz val="10"/>
        <color rgb="FFFF0000"/>
        <rFont val="Arial"/>
      </rPr>
      <t>16 AH</t>
    </r>
    <r>
      <rPr>
        <sz val="10"/>
        <color theme="1"/>
        <rFont val="Arial"/>
      </rPr>
      <t xml:space="preserve">  - L9_10_11 W_1</t>
    </r>
  </si>
  <si>
    <t>85.03</t>
  </si>
  <si>
    <t>69.82</t>
  </si>
  <si>
    <t>88.28</t>
  </si>
  <si>
    <t>78.51</t>
  </si>
  <si>
    <t xml:space="preserve"> 71.7</t>
  </si>
  <si>
    <t>16 AH  - L9_10_11 W_1_WADA</t>
  </si>
  <si>
    <t>74.96</t>
  </si>
  <si>
    <t>88.83</t>
  </si>
  <si>
    <t>79.79</t>
  </si>
  <si>
    <t>66.93</t>
  </si>
  <si>
    <t>72.45</t>
  </si>
  <si>
    <t>16 AH  - L9_10_11 W_1_CenDec</t>
  </si>
  <si>
    <t>85.59</t>
  </si>
  <si>
    <t>74.27</t>
  </si>
  <si>
    <t>88.88</t>
  </si>
  <si>
    <t xml:space="preserve"> 80.01</t>
  </si>
  <si>
    <t>67.25</t>
  </si>
  <si>
    <t>72.08</t>
  </si>
  <si>
    <t>16 AH  - L9_10_11 W_1_CenDecV2</t>
  </si>
  <si>
    <t>85.61</t>
  </si>
  <si>
    <t>88.86</t>
  </si>
  <si>
    <t xml:space="preserve"> 80.07</t>
  </si>
  <si>
    <t>67.03</t>
  </si>
  <si>
    <t>72.40</t>
  </si>
  <si>
    <t>16 AH  - L9_10_11 W_1_CenDecV3K10</t>
  </si>
  <si>
    <t>16 AH  - L9_10_11 W_1_CenDecV3K1</t>
  </si>
  <si>
    <t>85.72</t>
  </si>
  <si>
    <t>74.29</t>
  </si>
  <si>
    <t>89.09</t>
  </si>
  <si>
    <t>79.93</t>
  </si>
  <si>
    <t>16 AH  - L9_10_11 W_1_CenDecV3_fixedW</t>
  </si>
  <si>
    <t>85.07</t>
  </si>
  <si>
    <t>73.3</t>
  </si>
  <si>
    <t>88.63</t>
  </si>
  <si>
    <t>79.81</t>
  </si>
  <si>
    <t>16 AH  - L9_10_11 W_1_CenDecV3_fixedW_temp2</t>
  </si>
  <si>
    <t>85.26</t>
  </si>
  <si>
    <t>72.51</t>
  </si>
  <si>
    <t>88.62</t>
  </si>
  <si>
    <t>79.67</t>
  </si>
  <si>
    <t>66.98</t>
  </si>
  <si>
    <t>71.54</t>
  </si>
  <si>
    <t>Ablation: Layers decorr for 16 AH  -  W_1_CenDec</t>
  </si>
  <si>
    <t>ALL</t>
  </si>
  <si>
    <t>82.2</t>
  </si>
  <si>
    <t>54.1</t>
  </si>
  <si>
    <t>83.94</t>
  </si>
  <si>
    <t>57.98</t>
  </si>
  <si>
    <t>65.34</t>
  </si>
  <si>
    <t>70.52</t>
  </si>
  <si>
    <t>3-to-11</t>
  </si>
  <si>
    <t>62.74</t>
  </si>
  <si>
    <t>86.54</t>
  </si>
  <si>
    <t>69.12</t>
  </si>
  <si>
    <t>71.11</t>
  </si>
  <si>
    <t>6-to-11</t>
  </si>
  <si>
    <t>84.7</t>
  </si>
  <si>
    <t>87.44</t>
  </si>
  <si>
    <t>72.71</t>
  </si>
  <si>
    <t xml:space="preserve"> 66.74</t>
  </si>
  <si>
    <t>71.78</t>
  </si>
  <si>
    <t>9-to11</t>
  </si>
  <si>
    <t>0-to-2</t>
  </si>
  <si>
    <t>85.14</t>
  </si>
  <si>
    <t>66.09</t>
  </si>
  <si>
    <t>88.65</t>
  </si>
  <si>
    <t>77.6</t>
  </si>
  <si>
    <t>66.87</t>
  </si>
  <si>
    <t>0-to-5</t>
  </si>
  <si>
    <t>84.63</t>
  </si>
  <si>
    <t xml:space="preserve"> 67.72</t>
  </si>
  <si>
    <t>88.16</t>
  </si>
  <si>
    <t>75.64</t>
  </si>
  <si>
    <t>70.55</t>
  </si>
  <si>
    <t>0-to-8</t>
  </si>
  <si>
    <t>83.56</t>
  </si>
  <si>
    <t>62.83</t>
  </si>
  <si>
    <t>86.48</t>
  </si>
  <si>
    <t>68.54</t>
  </si>
  <si>
    <t>65.37</t>
  </si>
  <si>
    <t>Ablation: Weight</t>
  </si>
  <si>
    <t>16 AH  - L9_10_11 W_1_CenDecV3_fix_W1_temp2</t>
  </si>
  <si>
    <t>16 AH  - L9_10_11 W_1_CenDecV3_fix_W10_temp2</t>
  </si>
  <si>
    <t>16 AH  - L9_10_11 W_1_CenDecV3_fix_W50_temp2</t>
  </si>
  <si>
    <t>16 AH  - L9_10_11 W_1_CenDecV3_fix_W100_temp2</t>
  </si>
  <si>
    <t>16 AH  - L9_10_11 W_1_CenDecV3_fix_W150_temp2</t>
  </si>
  <si>
    <t>16 AH  - L9_10_11 W_1_CenDecV3_fix_W200_temp2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</si>
</sst>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0"/>
      <color rgb="FF000000"/>
      <name val="Arial"/>
      <scheme val="minor"/>
    </font>
    <font>
      <b/>
      <sz val="11"/>
      <color theme="1"/>
      <name val="Arial"/>
    </font>
    <font>
      <sz val="10"/>
      <name val="Arial"/>
    </font>
    <font>
      <sz val="10"/>
      <color theme="1"/>
      <name val="Arial"/>
    </font>
    <font>
      <b/>
      <i/>
      <sz val="11"/>
      <color theme="1"/>
      <name val="Arial"/>
    </font>
    <font>
      <sz val="10"/>
      <color theme="1"/>
      <name val="Arial"/>
    </font>
    <font>
      <sz val="10"/>
      <color rgb="FFFFFFFF"/>
      <name val="Arial"/>
    </font>
    <font>
      <sz val="10"/>
      <color rgb="FF000000"/>
      <name val="Arial"/>
    </font>
    <font>
      <sz val="10"/>
      <color rgb="FFD9D9D9"/>
      <name val="Arial"/>
    </font>
    <font>
      <b/>
      <sz val="12"/>
      <color theme="1"/>
      <name val="Arial"/>
    </font>
    <font>
      <sz val="10"/>
      <color rgb="FFFFFFFF"/>
      <name val="Arial"/>
    </font>
    <font>
      <sz val="10"/>
      <color rgb="FF000000"/>
      <name val="Arial"/>
    </font>
    <font>
      <b/>
      <sz val="10"/>
      <color theme="1"/>
      <name val="Arial"/>
    </font>
    <font>
      <sz val="10"/>
      <color rgb="FFFF0000"/>
      <name val="Arial"/>
    </font>
    <font>
      <b/>
      <sz val="10"/>
      <color rgb="FFFF0000"/>
      <name val="Arial"/>
    </font>
    <font>
      <b/>
      <sz val="10"/>
      <color rgb="FF0000FF"/>
      <name val="Arial"/>
    </font>
    <font>
      <b/>
      <sz val="10"/>
      <color rgb="FFFF9900"/>
      <name val="Arial"/>
    </font>
    <font>
      <b/>
      <sz val="10"/>
      <color rgb="FFFF00FF"/>
      <name val="Arial"/>
    </font>
    <font>
      <b/>
      <sz val="10"/>
      <color rgb="FF38761D"/>
      <name val="Arial"/>
    </font>
  </fonts>
  <fills count="15">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rgb="FFB6D7A8"/>
        <bgColor rgb="FFB6D7A8"/>
      </patternFill>
    </fill>
    <fill>
      <patternFill patternType="solid">
        <fgColor rgb="FFA4C2F4"/>
        <bgColor rgb="FFA4C2F4"/>
      </patternFill>
    </fill>
    <fill>
      <patternFill patternType="solid">
        <fgColor rgb="FFEA9999"/>
        <bgColor rgb="FFEA9999"/>
      </patternFill>
    </fill>
    <fill>
      <patternFill patternType="solid">
        <fgColor rgb="FF6AA84F"/>
        <bgColor rgb="FF6AA84F"/>
      </patternFill>
    </fill>
    <fill>
      <patternFill patternType="solid">
        <fgColor rgb="FF3C78D8"/>
        <bgColor rgb="FF3C78D8"/>
      </patternFill>
    </fill>
    <fill>
      <patternFill patternType="solid">
        <fgColor rgb="FFE06666"/>
        <bgColor rgb="FFE06666"/>
      </patternFill>
    </fill>
    <fill>
      <patternFill patternType="solid">
        <fgColor rgb="FF000000"/>
        <bgColor rgb="FF000000"/>
      </patternFill>
    </fill>
    <fill>
      <patternFill patternType="solid">
        <fgColor rgb="FFD9EAD3"/>
        <bgColor rgb="FFD9EAD3"/>
      </patternFill>
    </fill>
    <fill>
      <patternFill patternType="solid">
        <fgColor rgb="FF999999"/>
        <bgColor rgb="FF999999"/>
      </patternFill>
    </fill>
    <fill>
      <patternFill patternType="solid">
        <fgColor rgb="FFCCCCCC"/>
        <bgColor rgb="FFCCCCCC"/>
      </patternFill>
    </fill>
    <fill>
      <patternFill patternType="solid">
        <fgColor rgb="FF434343"/>
        <bgColor rgb="FF434343"/>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5">
    <xf numFmtId="0" fontId="0" fillId="0" borderId="0" xfId="0"/>
    <xf numFmtId="0" fontId="3" fillId="0" borderId="0" xfId="0" applyFont="1"/>
    <xf numFmtId="164" fontId="3" fillId="7" borderId="0" xfId="0" applyNumberFormat="1" applyFont="1" applyFill="1" applyAlignment="1">
      <alignment horizontal="center" vertical="center"/>
    </xf>
    <xf numFmtId="11" fontId="1" fillId="2" borderId="9" xfId="0" applyNumberFormat="1" applyFont="1" applyFill="1" applyBorder="1" applyAlignment="1">
      <alignment horizontal="center" vertical="center"/>
    </xf>
    <xf numFmtId="164" fontId="3" fillId="8" borderId="0" xfId="0" applyNumberFormat="1" applyFont="1" applyFill="1" applyAlignment="1">
      <alignment horizontal="center" vertical="center"/>
    </xf>
    <xf numFmtId="2" fontId="4" fillId="9" borderId="9" xfId="0" applyNumberFormat="1" applyFont="1" applyFill="1" applyBorder="1" applyAlignment="1">
      <alignment horizontal="center" vertical="center"/>
    </xf>
    <xf numFmtId="2" fontId="4" fillId="2" borderId="9" xfId="0" applyNumberFormat="1" applyFont="1" applyFill="1" applyBorder="1" applyAlignment="1">
      <alignment horizontal="center" vertical="center"/>
    </xf>
    <xf numFmtId="2" fontId="5" fillId="2" borderId="9" xfId="0" applyNumberFormat="1" applyFont="1" applyFill="1" applyBorder="1" applyAlignment="1">
      <alignment horizontal="center"/>
    </xf>
    <xf numFmtId="2" fontId="5" fillId="2" borderId="0" xfId="0" applyNumberFormat="1" applyFont="1" applyFill="1" applyAlignment="1">
      <alignment horizontal="center"/>
    </xf>
    <xf numFmtId="2" fontId="5" fillId="2" borderId="9" xfId="0" applyNumberFormat="1" applyFont="1" applyFill="1" applyBorder="1" applyAlignment="1">
      <alignment horizontal="center" vertical="center"/>
    </xf>
    <xf numFmtId="0" fontId="5" fillId="10" borderId="9" xfId="0" applyFont="1" applyFill="1" applyBorder="1"/>
    <xf numFmtId="2" fontId="5" fillId="11" borderId="9" xfId="0" applyNumberFormat="1" applyFont="1" applyFill="1" applyBorder="1" applyAlignment="1">
      <alignment horizontal="center"/>
    </xf>
    <xf numFmtId="2" fontId="7" fillId="11" borderId="9" xfId="0" applyNumberFormat="1" applyFont="1" applyFill="1" applyBorder="1" applyAlignment="1">
      <alignment horizontal="center"/>
    </xf>
    <xf numFmtId="2" fontId="1" fillId="2" borderId="9" xfId="0" applyNumberFormat="1" applyFont="1" applyFill="1" applyBorder="1" applyAlignment="1">
      <alignment horizontal="center" vertical="center"/>
    </xf>
    <xf numFmtId="2" fontId="1" fillId="2" borderId="9" xfId="0" applyNumberFormat="1" applyFont="1" applyFill="1" applyBorder="1" applyAlignment="1">
      <alignment horizontal="center"/>
    </xf>
    <xf numFmtId="2" fontId="1" fillId="11" borderId="9" xfId="0" applyNumberFormat="1" applyFont="1" applyFill="1" applyBorder="1" applyAlignment="1">
      <alignment horizontal="center"/>
    </xf>
    <xf numFmtId="2" fontId="9" fillId="2" borderId="9" xfId="0" applyNumberFormat="1" applyFont="1" applyFill="1" applyBorder="1" applyAlignment="1">
      <alignment horizontal="center" vertical="center"/>
    </xf>
    <xf numFmtId="2" fontId="1" fillId="11" borderId="9" xfId="0" applyNumberFormat="1" applyFont="1" applyFill="1" applyBorder="1" applyAlignment="1">
      <alignment horizontal="center" vertical="center"/>
    </xf>
    <xf numFmtId="2" fontId="5" fillId="11" borderId="9" xfId="0" applyNumberFormat="1" applyFont="1" applyFill="1" applyBorder="1" applyAlignment="1">
      <alignment horizontal="center" vertical="center"/>
    </xf>
    <xf numFmtId="2" fontId="7" fillId="11" borderId="9" xfId="0" applyNumberFormat="1" applyFont="1" applyFill="1" applyBorder="1" applyAlignment="1">
      <alignment horizontal="center" vertical="center"/>
    </xf>
    <xf numFmtId="2" fontId="3" fillId="2" borderId="9" xfId="0" applyNumberFormat="1" applyFont="1" applyFill="1" applyBorder="1" applyAlignment="1">
      <alignment horizontal="center"/>
    </xf>
    <xf numFmtId="2" fontId="11" fillId="2" borderId="9" xfId="0" applyNumberFormat="1" applyFont="1" applyFill="1" applyBorder="1" applyAlignment="1">
      <alignment horizontal="center"/>
    </xf>
    <xf numFmtId="2" fontId="12" fillId="2" borderId="9" xfId="0" applyNumberFormat="1" applyFont="1" applyFill="1" applyBorder="1" applyAlignment="1">
      <alignment horizontal="center" vertical="center"/>
    </xf>
    <xf numFmtId="2" fontId="12" fillId="11" borderId="9" xfId="0" applyNumberFormat="1" applyFont="1" applyFill="1" applyBorder="1" applyAlignment="1">
      <alignment horizontal="center" vertical="center"/>
    </xf>
    <xf numFmtId="2" fontId="5" fillId="10" borderId="9" xfId="0" applyNumberFormat="1" applyFont="1" applyFill="1" applyBorder="1" applyAlignment="1">
      <alignment horizontal="center" vertical="center"/>
    </xf>
    <xf numFmtId="2" fontId="1" fillId="10" borderId="9" xfId="0" applyNumberFormat="1" applyFont="1" applyFill="1" applyBorder="1" applyAlignment="1">
      <alignment horizontal="center" vertical="center"/>
    </xf>
    <xf numFmtId="2" fontId="5" fillId="14" borderId="9" xfId="0" applyNumberFormat="1" applyFont="1" applyFill="1" applyBorder="1" applyAlignment="1">
      <alignment horizontal="center" vertical="center"/>
    </xf>
    <xf numFmtId="2" fontId="1" fillId="14" borderId="9" xfId="0" applyNumberFormat="1" applyFont="1" applyFill="1" applyBorder="1" applyAlignment="1">
      <alignment horizontal="center" vertical="center"/>
    </xf>
    <xf numFmtId="0" fontId="5" fillId="11" borderId="2" xfId="0" applyFont="1" applyFill="1" applyBorder="1"/>
    <xf numFmtId="0" fontId="2" fillId="0" borderId="4" xfId="0" applyFont="1" applyBorder="1"/>
    <xf numFmtId="0" fontId="5" fillId="0" borderId="2" xfId="0" applyFont="1" applyBorder="1"/>
    <xf numFmtId="2" fontId="5" fillId="2" borderId="2" xfId="0" applyNumberFormat="1" applyFont="1" applyFill="1" applyBorder="1" applyAlignment="1">
      <alignment horizontal="center"/>
    </xf>
    <xf numFmtId="0" fontId="2" fillId="0" borderId="3" xfId="0" applyFont="1" applyBorder="1"/>
    <xf numFmtId="2" fontId="6" fillId="10" borderId="2" xfId="0" applyNumberFormat="1" applyFont="1" applyFill="1" applyBorder="1" applyAlignment="1">
      <alignment horizontal="center" vertical="center"/>
    </xf>
    <xf numFmtId="2" fontId="8" fillId="12" borderId="2" xfId="0" applyNumberFormat="1" applyFont="1" applyFill="1" applyBorder="1" applyAlignment="1">
      <alignment horizontal="center"/>
    </xf>
    <xf numFmtId="0" fontId="5" fillId="2" borderId="2" xfId="0" applyFont="1" applyFill="1" applyBorder="1"/>
    <xf numFmtId="2" fontId="10" fillId="10" borderId="2" xfId="0" applyNumberFormat="1" applyFont="1" applyFill="1" applyBorder="1" applyAlignment="1">
      <alignment horizontal="center"/>
    </xf>
    <xf numFmtId="2" fontId="5" fillId="13" borderId="2" xfId="0" applyNumberFormat="1" applyFont="1" applyFill="1" applyBorder="1" applyAlignment="1">
      <alignment horizontal="center"/>
    </xf>
    <xf numFmtId="0" fontId="3" fillId="2" borderId="2" xfId="0" applyFont="1" applyFill="1" applyBorder="1"/>
    <xf numFmtId="0" fontId="5" fillId="10" borderId="2" xfId="0" applyFont="1" applyFill="1" applyBorder="1"/>
    <xf numFmtId="0" fontId="4" fillId="2" borderId="1" xfId="0" applyFont="1" applyFill="1" applyBorder="1" applyAlignment="1">
      <alignment horizontal="center" vertical="center"/>
    </xf>
    <xf numFmtId="0" fontId="2" fillId="0" borderId="8" xfId="0" applyFont="1" applyBorder="1"/>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5" borderId="3" xfId="0" applyFont="1" applyFill="1" applyBorder="1" applyAlignment="1">
      <alignment horizontal="center" vertical="center"/>
    </xf>
    <xf numFmtId="0" fontId="1" fillId="0" borderId="1" xfId="0" applyFont="1" applyBorder="1" applyAlignment="1">
      <alignment horizontal="center" vertical="center"/>
    </xf>
    <xf numFmtId="0" fontId="2" fillId="0" borderId="5" xfId="0" applyFont="1" applyBorder="1"/>
    <xf numFmtId="0" fontId="1" fillId="0" borderId="2" xfId="0" applyFont="1" applyBorder="1" applyAlignment="1">
      <alignment horizontal="center" vertical="center"/>
    </xf>
    <xf numFmtId="0" fontId="1" fillId="6" borderId="2" xfId="0" applyFont="1" applyFill="1" applyBorder="1" applyAlignment="1">
      <alignment horizontal="center" vertical="center"/>
    </xf>
    <xf numFmtId="0" fontId="1" fillId="6" borderId="6" xfId="0" applyFont="1" applyFill="1" applyBorder="1" applyAlignment="1">
      <alignment horizontal="center" vertical="center"/>
    </xf>
    <xf numFmtId="0" fontId="2" fillId="0" borderId="7" xfId="0" applyFont="1" applyBorder="1"/>
    <xf numFmtId="0" fontId="2" fillId="0" borderId="10" xfId="0" applyFont="1" applyBorder="1"/>
    <xf numFmtId="0" fontId="2" fillId="0" borderId="11" xfId="0" applyFont="1" applyBorder="1"/>
    <xf numFmtId="2" fontId="5" fillId="12" borderId="2" xfId="0" applyNumberFormat="1" applyFont="1" applyFill="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10"/>
  <sheetViews>
    <sheetView tabSelected="1" workbookViewId="0">
      <selection sqref="A1:A3"/>
    </sheetView>
  </sheetViews>
  <sheetFormatPr baseColWidth="10" defaultColWidth="12.5703125" defaultRowHeight="15.75" customHeight="1" x14ac:dyDescent="0.2"/>
  <cols>
    <col min="1" max="1" width="17.42578125" customWidth="1"/>
    <col min="2" max="2" width="17.7109375" customWidth="1"/>
    <col min="3" max="3" width="21.140625" customWidth="1"/>
    <col min="4" max="4" width="41.7109375" customWidth="1"/>
    <col min="11" max="11" width="13.42578125" customWidth="1"/>
    <col min="13" max="13" width="14.42578125" customWidth="1"/>
  </cols>
  <sheetData>
    <row r="1" spans="1:20" ht="15" x14ac:dyDescent="0.2">
      <c r="A1" s="46" t="s">
        <v>0</v>
      </c>
      <c r="B1" s="46" t="s">
        <v>1</v>
      </c>
      <c r="C1" s="46" t="s">
        <v>2</v>
      </c>
      <c r="D1" s="46" t="s">
        <v>3</v>
      </c>
      <c r="E1" s="48" t="s">
        <v>4</v>
      </c>
      <c r="F1" s="32"/>
      <c r="G1" s="32"/>
      <c r="H1" s="32"/>
      <c r="I1" s="32"/>
      <c r="J1" s="32"/>
      <c r="K1" s="32"/>
      <c r="L1" s="32"/>
      <c r="M1" s="32"/>
      <c r="N1" s="32"/>
      <c r="O1" s="32"/>
      <c r="P1" s="29"/>
      <c r="Q1" s="1"/>
      <c r="R1" s="1"/>
      <c r="S1" s="1"/>
      <c r="T1" s="1"/>
    </row>
    <row r="2" spans="1:20" ht="15" x14ac:dyDescent="0.2">
      <c r="A2" s="47"/>
      <c r="B2" s="47"/>
      <c r="C2" s="47"/>
      <c r="D2" s="47"/>
      <c r="E2" s="40" t="s">
        <v>5</v>
      </c>
      <c r="F2" s="40" t="s">
        <v>6</v>
      </c>
      <c r="G2" s="40" t="s">
        <v>7</v>
      </c>
      <c r="H2" s="42" t="s">
        <v>8</v>
      </c>
      <c r="I2" s="42" t="s">
        <v>9</v>
      </c>
      <c r="J2" s="43" t="s">
        <v>10</v>
      </c>
      <c r="K2" s="44" t="s">
        <v>11</v>
      </c>
      <c r="L2" s="29"/>
      <c r="M2" s="45" t="s">
        <v>12</v>
      </c>
      <c r="N2" s="32"/>
      <c r="O2" s="49" t="s">
        <v>13</v>
      </c>
      <c r="P2" s="29"/>
      <c r="Q2" s="50" t="s">
        <v>14</v>
      </c>
      <c r="R2" s="51"/>
    </row>
    <row r="3" spans="1:20" ht="15" x14ac:dyDescent="0.2">
      <c r="A3" s="41"/>
      <c r="B3" s="41"/>
      <c r="C3" s="41"/>
      <c r="D3" s="41"/>
      <c r="E3" s="41"/>
      <c r="F3" s="41"/>
      <c r="G3" s="41"/>
      <c r="H3" s="41"/>
      <c r="I3" s="41"/>
      <c r="J3" s="41"/>
      <c r="K3" s="2">
        <v>1E-4</v>
      </c>
      <c r="L3" s="3">
        <v>1.0000000000000001E-5</v>
      </c>
      <c r="M3" s="4">
        <v>1E-4</v>
      </c>
      <c r="N3" s="3">
        <v>1.0000000000000001E-5</v>
      </c>
      <c r="O3" s="5" t="s">
        <v>15</v>
      </c>
      <c r="P3" s="6" t="s">
        <v>16</v>
      </c>
      <c r="Q3" s="52"/>
      <c r="R3" s="53"/>
    </row>
    <row r="4" spans="1:20" ht="12.75" x14ac:dyDescent="0.2">
      <c r="A4" s="7" t="s">
        <v>17</v>
      </c>
      <c r="B4" s="7" t="s">
        <v>18</v>
      </c>
      <c r="C4" s="7" t="s">
        <v>19</v>
      </c>
      <c r="D4" s="7" t="s">
        <v>20</v>
      </c>
      <c r="E4" s="7"/>
      <c r="F4" s="7"/>
      <c r="G4" s="7"/>
      <c r="H4" s="7"/>
      <c r="I4" s="7"/>
      <c r="J4" s="7" t="e">
        <f t="shared" ref="J4:J8" si="0">AVERAGE(E4:I4)</f>
        <v>#DIV/0!</v>
      </c>
      <c r="K4" s="8"/>
      <c r="L4" s="7"/>
      <c r="M4" s="8"/>
      <c r="N4" s="7"/>
      <c r="O4" s="7"/>
      <c r="P4" s="7"/>
      <c r="Q4" s="30"/>
      <c r="R4" s="29"/>
    </row>
    <row r="5" spans="1:20" ht="12.75" x14ac:dyDescent="0.2">
      <c r="A5" s="7" t="s">
        <v>17</v>
      </c>
      <c r="B5" s="7" t="s">
        <v>18</v>
      </c>
      <c r="C5" s="7" t="s">
        <v>19</v>
      </c>
      <c r="D5" s="7" t="s">
        <v>21</v>
      </c>
      <c r="E5" s="7">
        <v>99.8</v>
      </c>
      <c r="F5" s="7">
        <v>99.03</v>
      </c>
      <c r="G5" s="7">
        <v>97.7</v>
      </c>
      <c r="H5" s="7">
        <v>96.016999999999996</v>
      </c>
      <c r="I5" s="7">
        <v>94.783000000000001</v>
      </c>
      <c r="J5" s="7">
        <f t="shared" si="0"/>
        <v>97.465999999999994</v>
      </c>
      <c r="K5" s="7" t="s">
        <v>22</v>
      </c>
      <c r="L5" s="7" t="s">
        <v>23</v>
      </c>
      <c r="M5" s="7" t="s">
        <v>24</v>
      </c>
      <c r="N5" s="7" t="s">
        <v>25</v>
      </c>
      <c r="O5" s="7">
        <v>71.459230000000005</v>
      </c>
      <c r="P5" s="7">
        <v>74.785404999999997</v>
      </c>
      <c r="Q5" s="30"/>
      <c r="R5" s="29"/>
    </row>
    <row r="6" spans="1:20" ht="12.75" x14ac:dyDescent="0.2">
      <c r="A6" s="7" t="s">
        <v>17</v>
      </c>
      <c r="B6" s="7" t="s">
        <v>18</v>
      </c>
      <c r="C6" s="7" t="s">
        <v>19</v>
      </c>
      <c r="D6" s="9" t="s">
        <v>26</v>
      </c>
      <c r="E6" s="9">
        <v>99.83</v>
      </c>
      <c r="F6" s="9">
        <v>98.956999999999994</v>
      </c>
      <c r="G6" s="9">
        <v>97.516999999999996</v>
      </c>
      <c r="H6" s="9">
        <v>96.05</v>
      </c>
      <c r="I6" s="9">
        <v>94.8</v>
      </c>
      <c r="J6" s="7">
        <f t="shared" si="0"/>
        <v>97.430800000000005</v>
      </c>
      <c r="K6" s="9" t="s">
        <v>27</v>
      </c>
      <c r="L6" s="9" t="s">
        <v>28</v>
      </c>
      <c r="M6" s="9" t="s">
        <v>29</v>
      </c>
      <c r="N6" s="9" t="s">
        <v>30</v>
      </c>
      <c r="O6" s="9">
        <v>71.727467000000004</v>
      </c>
      <c r="P6" s="9">
        <v>74.919529999999995</v>
      </c>
      <c r="Q6" s="30"/>
      <c r="R6" s="29"/>
    </row>
    <row r="7" spans="1:20" ht="12.75" x14ac:dyDescent="0.2">
      <c r="A7" s="7" t="s">
        <v>17</v>
      </c>
      <c r="B7" s="7" t="s">
        <v>18</v>
      </c>
      <c r="C7" s="7" t="s">
        <v>19</v>
      </c>
      <c r="D7" s="9" t="s">
        <v>31</v>
      </c>
      <c r="E7" s="9">
        <v>99.867000000000004</v>
      </c>
      <c r="F7" s="9">
        <v>98.942999999999998</v>
      </c>
      <c r="G7" s="9">
        <v>97.433000000000007</v>
      </c>
      <c r="H7" s="9">
        <v>96.082999999999998</v>
      </c>
      <c r="I7" s="9">
        <v>94.816999999999993</v>
      </c>
      <c r="J7" s="7">
        <f t="shared" si="0"/>
        <v>97.428600000000003</v>
      </c>
      <c r="K7" s="9" t="s">
        <v>32</v>
      </c>
      <c r="L7" s="9" t="s">
        <v>33</v>
      </c>
      <c r="M7" s="9" t="s">
        <v>29</v>
      </c>
      <c r="N7" s="9" t="s">
        <v>34</v>
      </c>
      <c r="O7" s="9">
        <v>71.915233000000001</v>
      </c>
      <c r="P7" s="9">
        <v>75.160944000000001</v>
      </c>
      <c r="Q7" s="30"/>
      <c r="R7" s="29"/>
    </row>
    <row r="8" spans="1:20" ht="12.75" x14ac:dyDescent="0.2">
      <c r="A8" s="7" t="s">
        <v>17</v>
      </c>
      <c r="B8" s="7" t="s">
        <v>18</v>
      </c>
      <c r="C8" s="7" t="s">
        <v>19</v>
      </c>
      <c r="D8" s="9" t="s">
        <v>35</v>
      </c>
      <c r="E8" s="9">
        <v>99.832999999999998</v>
      </c>
      <c r="F8" s="9">
        <v>98.986000000000004</v>
      </c>
      <c r="G8" s="9">
        <v>97.5</v>
      </c>
      <c r="H8" s="9">
        <v>95.85</v>
      </c>
      <c r="I8" s="9">
        <v>94.566999999999993</v>
      </c>
      <c r="J8" s="7">
        <f t="shared" si="0"/>
        <v>97.347200000000001</v>
      </c>
      <c r="K8" s="9" t="s">
        <v>27</v>
      </c>
      <c r="L8" s="9" t="s">
        <v>36</v>
      </c>
      <c r="M8" s="9" t="s">
        <v>37</v>
      </c>
      <c r="N8" s="9" t="s">
        <v>38</v>
      </c>
      <c r="O8" s="9">
        <v>71.673820000000006</v>
      </c>
      <c r="P8" s="9">
        <v>74.704932999999997</v>
      </c>
      <c r="Q8" s="30"/>
      <c r="R8" s="29"/>
    </row>
    <row r="9" spans="1:20" ht="12.75" x14ac:dyDescent="0.2">
      <c r="A9" s="33" t="s">
        <v>39</v>
      </c>
      <c r="B9" s="32"/>
      <c r="C9" s="32"/>
      <c r="D9" s="32"/>
      <c r="E9" s="32"/>
      <c r="F9" s="32"/>
      <c r="G9" s="32"/>
      <c r="H9" s="32"/>
      <c r="I9" s="32"/>
      <c r="J9" s="32"/>
      <c r="K9" s="32"/>
      <c r="L9" s="32"/>
      <c r="M9" s="32"/>
      <c r="N9" s="32"/>
      <c r="O9" s="32"/>
      <c r="P9" s="29"/>
      <c r="Q9" s="10"/>
      <c r="R9" s="10"/>
    </row>
    <row r="10" spans="1:20" ht="12.75" x14ac:dyDescent="0.2">
      <c r="A10" s="11" t="s">
        <v>17</v>
      </c>
      <c r="B10" s="11" t="s">
        <v>18</v>
      </c>
      <c r="C10" s="11" t="s">
        <v>19</v>
      </c>
      <c r="D10" s="11" t="s">
        <v>40</v>
      </c>
      <c r="E10" s="11">
        <v>99.8</v>
      </c>
      <c r="F10" s="11">
        <v>99.03</v>
      </c>
      <c r="G10" s="11">
        <v>97.7</v>
      </c>
      <c r="H10" s="11">
        <v>96.016999999999996</v>
      </c>
      <c r="I10" s="11">
        <v>94.783000000000001</v>
      </c>
      <c r="J10" s="11">
        <f t="shared" ref="J10:J11" si="1">AVERAGE(E10:I10)</f>
        <v>97.465999999999994</v>
      </c>
      <c r="K10" s="11" t="s">
        <v>22</v>
      </c>
      <c r="L10" s="11" t="s">
        <v>23</v>
      </c>
      <c r="M10" s="11" t="s">
        <v>24</v>
      </c>
      <c r="N10" s="11" t="s">
        <v>25</v>
      </c>
      <c r="O10" s="12">
        <v>71.459230000000005</v>
      </c>
      <c r="P10" s="12">
        <v>74.785404999999997</v>
      </c>
      <c r="Q10" s="28"/>
      <c r="R10" s="29"/>
    </row>
    <row r="11" spans="1:20" ht="12.75" x14ac:dyDescent="0.2">
      <c r="A11" s="7" t="s">
        <v>17</v>
      </c>
      <c r="B11" s="7" t="s">
        <v>18</v>
      </c>
      <c r="C11" s="7" t="s">
        <v>19</v>
      </c>
      <c r="D11" s="7" t="s">
        <v>41</v>
      </c>
      <c r="E11" s="9">
        <v>99.816999999999993</v>
      </c>
      <c r="F11" s="9">
        <v>98.929000000000002</v>
      </c>
      <c r="G11" s="9">
        <v>97.75</v>
      </c>
      <c r="H11" s="9">
        <v>95.816999999999993</v>
      </c>
      <c r="I11" s="9">
        <v>94.867000000000004</v>
      </c>
      <c r="J11" s="7">
        <f t="shared" si="1"/>
        <v>97.436000000000007</v>
      </c>
      <c r="K11" s="9" t="s">
        <v>42</v>
      </c>
      <c r="L11" s="9" t="s">
        <v>43</v>
      </c>
      <c r="M11" s="9" t="s">
        <v>44</v>
      </c>
      <c r="N11" s="9" t="s">
        <v>30</v>
      </c>
      <c r="O11" s="9"/>
      <c r="P11" s="9"/>
      <c r="Q11" s="30"/>
      <c r="R11" s="29"/>
    </row>
    <row r="12" spans="1:20" ht="15" customHeight="1" x14ac:dyDescent="0.2">
      <c r="A12" s="7" t="s">
        <v>17</v>
      </c>
      <c r="B12" s="7" t="s">
        <v>18</v>
      </c>
      <c r="C12" s="7" t="s">
        <v>19</v>
      </c>
      <c r="D12" s="7" t="s">
        <v>45</v>
      </c>
      <c r="E12" s="9"/>
      <c r="F12" s="9"/>
      <c r="G12" s="9"/>
      <c r="H12" s="9"/>
      <c r="I12" s="9"/>
      <c r="J12" s="9"/>
      <c r="K12" s="9"/>
      <c r="L12" s="9"/>
      <c r="M12" s="9"/>
      <c r="N12" s="9"/>
      <c r="O12" s="9"/>
      <c r="P12" s="9"/>
      <c r="Q12" s="30"/>
      <c r="R12" s="29"/>
    </row>
    <row r="13" spans="1:20" ht="12.75" x14ac:dyDescent="0.2">
      <c r="A13" s="7" t="s">
        <v>17</v>
      </c>
      <c r="B13" s="7" t="s">
        <v>18</v>
      </c>
      <c r="C13" s="7" t="s">
        <v>19</v>
      </c>
      <c r="D13" s="7" t="s">
        <v>46</v>
      </c>
      <c r="E13" s="9"/>
      <c r="F13" s="9"/>
      <c r="G13" s="9"/>
      <c r="H13" s="9"/>
      <c r="I13" s="9"/>
      <c r="J13" s="9"/>
      <c r="K13" s="9"/>
      <c r="L13" s="9"/>
      <c r="M13" s="9"/>
      <c r="N13" s="9"/>
      <c r="O13" s="9"/>
      <c r="P13" s="9"/>
      <c r="Q13" s="30"/>
      <c r="R13" s="29"/>
    </row>
    <row r="14" spans="1:20" ht="12.75" x14ac:dyDescent="0.2">
      <c r="A14" s="31"/>
      <c r="B14" s="32"/>
      <c r="C14" s="32"/>
      <c r="D14" s="32"/>
      <c r="E14" s="32"/>
      <c r="F14" s="32"/>
      <c r="G14" s="32"/>
      <c r="H14" s="32"/>
      <c r="I14" s="32"/>
      <c r="J14" s="32"/>
      <c r="K14" s="32"/>
      <c r="L14" s="32"/>
      <c r="M14" s="32"/>
      <c r="N14" s="32"/>
      <c r="O14" s="32"/>
      <c r="P14" s="32"/>
      <c r="Q14" s="32"/>
      <c r="R14" s="29"/>
    </row>
    <row r="15" spans="1:20" ht="15" x14ac:dyDescent="0.2">
      <c r="A15" s="7" t="s">
        <v>17</v>
      </c>
      <c r="B15" s="7" t="s">
        <v>18</v>
      </c>
      <c r="C15" s="7" t="s">
        <v>19</v>
      </c>
      <c r="D15" s="7" t="s">
        <v>47</v>
      </c>
      <c r="E15" s="9">
        <v>99.8</v>
      </c>
      <c r="F15" s="9">
        <v>99.043000000000006</v>
      </c>
      <c r="G15" s="9">
        <v>97.516999999999996</v>
      </c>
      <c r="H15" s="9">
        <v>96.016999999999996</v>
      </c>
      <c r="I15" s="9">
        <v>94.95</v>
      </c>
      <c r="J15" s="9">
        <f>AVERAGE(E15:I15)</f>
        <v>97.465400000000002</v>
      </c>
      <c r="K15" s="13" t="s">
        <v>48</v>
      </c>
      <c r="L15" s="13" t="s">
        <v>49</v>
      </c>
      <c r="M15" s="13" t="s">
        <v>50</v>
      </c>
      <c r="N15" s="13" t="s">
        <v>51</v>
      </c>
      <c r="O15" s="9"/>
      <c r="P15" s="9"/>
      <c r="Q15" s="30"/>
      <c r="R15" s="29"/>
    </row>
    <row r="16" spans="1:20" ht="12.75" x14ac:dyDescent="0.2">
      <c r="A16" s="7" t="s">
        <v>17</v>
      </c>
      <c r="B16" s="7" t="s">
        <v>18</v>
      </c>
      <c r="C16" s="7" t="s">
        <v>19</v>
      </c>
      <c r="D16" s="7" t="s">
        <v>52</v>
      </c>
      <c r="E16" s="9"/>
      <c r="F16" s="9"/>
      <c r="G16" s="9"/>
      <c r="H16" s="9"/>
      <c r="I16" s="9"/>
      <c r="J16" s="9"/>
      <c r="K16" s="9"/>
      <c r="L16" s="9"/>
      <c r="M16" s="9"/>
      <c r="N16" s="9"/>
      <c r="O16" s="9"/>
      <c r="P16" s="9"/>
      <c r="Q16" s="30"/>
      <c r="R16" s="29"/>
    </row>
    <row r="17" spans="1:18" ht="12.75" x14ac:dyDescent="0.2">
      <c r="A17" s="7" t="s">
        <v>17</v>
      </c>
      <c r="B17" s="7" t="s">
        <v>18</v>
      </c>
      <c r="C17" s="7" t="s">
        <v>19</v>
      </c>
      <c r="D17" s="7" t="s">
        <v>53</v>
      </c>
      <c r="E17" s="9"/>
      <c r="F17" s="9"/>
      <c r="G17" s="9"/>
      <c r="H17" s="9"/>
      <c r="I17" s="9"/>
      <c r="J17" s="9"/>
      <c r="K17" s="9"/>
      <c r="L17" s="9"/>
      <c r="M17" s="9"/>
      <c r="N17" s="9"/>
      <c r="O17" s="9"/>
      <c r="P17" s="9"/>
      <c r="Q17" s="30"/>
      <c r="R17" s="29"/>
    </row>
    <row r="18" spans="1:18" ht="12.75" x14ac:dyDescent="0.2">
      <c r="A18" s="31"/>
      <c r="B18" s="32"/>
      <c r="C18" s="32"/>
      <c r="D18" s="32"/>
      <c r="E18" s="32"/>
      <c r="F18" s="32"/>
      <c r="G18" s="32"/>
      <c r="H18" s="32"/>
      <c r="I18" s="32"/>
      <c r="J18" s="32"/>
      <c r="K18" s="32"/>
      <c r="L18" s="32"/>
      <c r="M18" s="32"/>
      <c r="N18" s="32"/>
      <c r="O18" s="32"/>
      <c r="P18" s="32"/>
      <c r="Q18" s="32"/>
      <c r="R18" s="29"/>
    </row>
    <row r="19" spans="1:18" ht="15" x14ac:dyDescent="0.2">
      <c r="A19" s="7" t="s">
        <v>17</v>
      </c>
      <c r="B19" s="7" t="s">
        <v>18</v>
      </c>
      <c r="C19" s="7" t="s">
        <v>19</v>
      </c>
      <c r="D19" s="7" t="s">
        <v>54</v>
      </c>
      <c r="E19" s="9">
        <v>99.8</v>
      </c>
      <c r="F19" s="9">
        <v>99.156999999999996</v>
      </c>
      <c r="G19" s="9">
        <v>97.832999999999998</v>
      </c>
      <c r="H19" s="9">
        <v>96.082999999999998</v>
      </c>
      <c r="I19" s="9">
        <v>94.783000000000001</v>
      </c>
      <c r="J19" s="13">
        <f>AVERAGE(E19:I19)</f>
        <v>97.531199999999984</v>
      </c>
      <c r="K19" s="9" t="s">
        <v>55</v>
      </c>
      <c r="L19" s="9" t="s">
        <v>56</v>
      </c>
      <c r="M19" s="9" t="s">
        <v>57</v>
      </c>
      <c r="N19" s="9" t="s">
        <v>58</v>
      </c>
      <c r="O19" s="9"/>
      <c r="P19" s="9"/>
      <c r="Q19" s="30"/>
      <c r="R19" s="29"/>
    </row>
    <row r="20" spans="1:18" ht="12.75" x14ac:dyDescent="0.2">
      <c r="A20" s="33" t="s">
        <v>59</v>
      </c>
      <c r="B20" s="32"/>
      <c r="C20" s="32"/>
      <c r="D20" s="32"/>
      <c r="E20" s="32"/>
      <c r="F20" s="32"/>
      <c r="G20" s="32"/>
      <c r="H20" s="32"/>
      <c r="I20" s="32"/>
      <c r="J20" s="32"/>
      <c r="K20" s="32"/>
      <c r="L20" s="32"/>
      <c r="M20" s="32"/>
      <c r="N20" s="32"/>
      <c r="O20" s="32"/>
      <c r="P20" s="29"/>
      <c r="Q20" s="10"/>
      <c r="R20" s="10"/>
    </row>
    <row r="21" spans="1:18" ht="12.75" x14ac:dyDescent="0.2">
      <c r="A21" s="11" t="s">
        <v>17</v>
      </c>
      <c r="B21" s="11" t="s">
        <v>18</v>
      </c>
      <c r="C21" s="11" t="s">
        <v>19</v>
      </c>
      <c r="D21" s="11" t="s">
        <v>40</v>
      </c>
      <c r="E21" s="11">
        <v>99.8</v>
      </c>
      <c r="F21" s="11">
        <v>99.03</v>
      </c>
      <c r="G21" s="11">
        <v>97.7</v>
      </c>
      <c r="H21" s="11">
        <v>96.016999999999996</v>
      </c>
      <c r="I21" s="11">
        <v>94.783000000000001</v>
      </c>
      <c r="J21" s="11">
        <f t="shared" ref="J21:J23" si="2">AVERAGE(E21:I21)</f>
        <v>97.465999999999994</v>
      </c>
      <c r="K21" s="11" t="s">
        <v>22</v>
      </c>
      <c r="L21" s="11" t="s">
        <v>23</v>
      </c>
      <c r="M21" s="11" t="s">
        <v>24</v>
      </c>
      <c r="N21" s="11" t="s">
        <v>25</v>
      </c>
      <c r="O21" s="12">
        <v>71.459230000000005</v>
      </c>
      <c r="P21" s="12">
        <v>74.785404999999997</v>
      </c>
      <c r="Q21" s="28"/>
      <c r="R21" s="29"/>
    </row>
    <row r="22" spans="1:18" ht="15" x14ac:dyDescent="0.25">
      <c r="A22" s="7" t="s">
        <v>17</v>
      </c>
      <c r="B22" s="7" t="s">
        <v>18</v>
      </c>
      <c r="C22" s="7" t="s">
        <v>19</v>
      </c>
      <c r="D22" s="7" t="s">
        <v>60</v>
      </c>
      <c r="E22" s="9">
        <v>99.85</v>
      </c>
      <c r="F22" s="9">
        <v>99.085999999999999</v>
      </c>
      <c r="G22" s="9">
        <v>97.533000000000001</v>
      </c>
      <c r="H22" s="9">
        <v>96.132999999999996</v>
      </c>
      <c r="I22" s="9">
        <v>94.867000000000004</v>
      </c>
      <c r="J22" s="14">
        <f t="shared" si="2"/>
        <v>97.493799999999993</v>
      </c>
      <c r="K22" s="13" t="s">
        <v>61</v>
      </c>
      <c r="L22" s="9" t="s">
        <v>62</v>
      </c>
      <c r="M22" s="13" t="s">
        <v>63</v>
      </c>
      <c r="N22" s="13" t="s">
        <v>64</v>
      </c>
      <c r="O22" s="9"/>
      <c r="P22" s="9"/>
      <c r="Q22" s="30"/>
      <c r="R22" s="29"/>
    </row>
    <row r="23" spans="1:18" ht="15" x14ac:dyDescent="0.2">
      <c r="A23" s="7" t="s">
        <v>17</v>
      </c>
      <c r="B23" s="7" t="s">
        <v>18</v>
      </c>
      <c r="C23" s="7" t="s">
        <v>19</v>
      </c>
      <c r="D23" s="7" t="s">
        <v>65</v>
      </c>
      <c r="E23" s="9">
        <v>99.816999999999993</v>
      </c>
      <c r="F23" s="9">
        <v>98.929000000000002</v>
      </c>
      <c r="G23" s="9">
        <v>97.75</v>
      </c>
      <c r="H23" s="9">
        <v>95.816999999999993</v>
      </c>
      <c r="I23" s="9">
        <v>94.867000000000004</v>
      </c>
      <c r="J23" s="7">
        <f t="shared" si="2"/>
        <v>97.436000000000007</v>
      </c>
      <c r="K23" s="9" t="s">
        <v>42</v>
      </c>
      <c r="L23" s="13" t="s">
        <v>43</v>
      </c>
      <c r="M23" s="9" t="s">
        <v>44</v>
      </c>
      <c r="N23" s="9" t="s">
        <v>30</v>
      </c>
      <c r="O23" s="7"/>
      <c r="P23" s="7"/>
      <c r="Q23" s="30"/>
      <c r="R23" s="29"/>
    </row>
    <row r="24" spans="1:18" ht="12.75" x14ac:dyDescent="0.2">
      <c r="A24" s="34"/>
      <c r="B24" s="32"/>
      <c r="C24" s="32"/>
      <c r="D24" s="32"/>
      <c r="E24" s="32"/>
      <c r="F24" s="32"/>
      <c r="G24" s="32"/>
      <c r="H24" s="32"/>
      <c r="I24" s="32"/>
      <c r="J24" s="32"/>
      <c r="K24" s="32"/>
      <c r="L24" s="32"/>
      <c r="M24" s="32"/>
      <c r="N24" s="32"/>
      <c r="O24" s="32"/>
      <c r="P24" s="32"/>
      <c r="Q24" s="32"/>
      <c r="R24" s="29"/>
    </row>
    <row r="25" spans="1:18" ht="12.75" x14ac:dyDescent="0.2">
      <c r="A25" s="11" t="s">
        <v>17</v>
      </c>
      <c r="B25" s="11" t="s">
        <v>18</v>
      </c>
      <c r="C25" s="11" t="s">
        <v>19</v>
      </c>
      <c r="D25" s="11" t="s">
        <v>40</v>
      </c>
      <c r="E25" s="11">
        <v>99.8</v>
      </c>
      <c r="F25" s="11">
        <v>99.03</v>
      </c>
      <c r="G25" s="11">
        <v>97.7</v>
      </c>
      <c r="H25" s="11">
        <v>96.016999999999996</v>
      </c>
      <c r="I25" s="11">
        <v>94.783000000000001</v>
      </c>
      <c r="J25" s="11">
        <f t="shared" ref="J25:J27" si="3">AVERAGE(E25:I25)</f>
        <v>97.465999999999994</v>
      </c>
      <c r="K25" s="11" t="s">
        <v>22</v>
      </c>
      <c r="L25" s="11" t="s">
        <v>23</v>
      </c>
      <c r="M25" s="11" t="s">
        <v>24</v>
      </c>
      <c r="N25" s="11" t="s">
        <v>25</v>
      </c>
      <c r="O25" s="12">
        <v>71.459230000000005</v>
      </c>
      <c r="P25" s="12">
        <v>74.785404999999997</v>
      </c>
      <c r="Q25" s="28"/>
      <c r="R25" s="29"/>
    </row>
    <row r="26" spans="1:18" ht="12.75" x14ac:dyDescent="0.2">
      <c r="A26" s="7" t="s">
        <v>17</v>
      </c>
      <c r="B26" s="7" t="s">
        <v>18</v>
      </c>
      <c r="C26" s="7" t="s">
        <v>19</v>
      </c>
      <c r="D26" s="7" t="s">
        <v>66</v>
      </c>
      <c r="E26" s="9">
        <v>99.783000000000001</v>
      </c>
      <c r="F26" s="9">
        <v>98.914000000000001</v>
      </c>
      <c r="G26" s="9">
        <v>97.7</v>
      </c>
      <c r="H26" s="9">
        <v>96.15</v>
      </c>
      <c r="I26" s="9">
        <v>94.6</v>
      </c>
      <c r="J26" s="9">
        <f t="shared" si="3"/>
        <v>97.429400000000015</v>
      </c>
      <c r="K26" s="9" t="s">
        <v>67</v>
      </c>
      <c r="L26" s="9" t="s">
        <v>68</v>
      </c>
      <c r="M26" s="9" t="s">
        <v>69</v>
      </c>
      <c r="N26" s="9" t="s">
        <v>58</v>
      </c>
      <c r="O26" s="9"/>
      <c r="P26" s="9"/>
      <c r="Q26" s="30"/>
      <c r="R26" s="29"/>
    </row>
    <row r="27" spans="1:18" ht="15" x14ac:dyDescent="0.2">
      <c r="A27" s="7" t="s">
        <v>17</v>
      </c>
      <c r="B27" s="7" t="s">
        <v>18</v>
      </c>
      <c r="C27" s="7" t="s">
        <v>19</v>
      </c>
      <c r="D27" s="7" t="s">
        <v>70</v>
      </c>
      <c r="E27" s="9">
        <v>99.8</v>
      </c>
      <c r="F27" s="9">
        <v>99.043000000000006</v>
      </c>
      <c r="G27" s="9">
        <v>97.516999999999996</v>
      </c>
      <c r="H27" s="9">
        <v>96.016999999999996</v>
      </c>
      <c r="I27" s="9">
        <v>94.95</v>
      </c>
      <c r="J27" s="13">
        <f t="shared" si="3"/>
        <v>97.465400000000002</v>
      </c>
      <c r="K27" s="13" t="s">
        <v>48</v>
      </c>
      <c r="L27" s="13" t="s">
        <v>49</v>
      </c>
      <c r="M27" s="13" t="s">
        <v>50</v>
      </c>
      <c r="N27" s="13" t="s">
        <v>51</v>
      </c>
      <c r="O27" s="9"/>
      <c r="P27" s="9"/>
      <c r="Q27" s="30"/>
      <c r="R27" s="29"/>
    </row>
    <row r="28" spans="1:18" ht="12.75" x14ac:dyDescent="0.2">
      <c r="A28" s="33" t="s">
        <v>71</v>
      </c>
      <c r="B28" s="32"/>
      <c r="C28" s="32"/>
      <c r="D28" s="32"/>
      <c r="E28" s="32"/>
      <c r="F28" s="32"/>
      <c r="G28" s="32"/>
      <c r="H28" s="32"/>
      <c r="I28" s="32"/>
      <c r="J28" s="32"/>
      <c r="K28" s="32"/>
      <c r="L28" s="32"/>
      <c r="M28" s="32"/>
      <c r="N28" s="32"/>
      <c r="O28" s="32"/>
      <c r="P28" s="29"/>
      <c r="Q28" s="10"/>
      <c r="R28" s="10"/>
    </row>
    <row r="29" spans="1:18" ht="15" x14ac:dyDescent="0.25">
      <c r="A29" s="11" t="s">
        <v>17</v>
      </c>
      <c r="B29" s="11" t="s">
        <v>18</v>
      </c>
      <c r="C29" s="11" t="s">
        <v>19</v>
      </c>
      <c r="D29" s="15" t="s">
        <v>72</v>
      </c>
      <c r="E29" s="11">
        <v>99.8</v>
      </c>
      <c r="F29" s="11">
        <v>99.03</v>
      </c>
      <c r="G29" s="11">
        <v>97.7</v>
      </c>
      <c r="H29" s="11">
        <v>96.016999999999996</v>
      </c>
      <c r="I29" s="11">
        <v>94.783000000000001</v>
      </c>
      <c r="J29" s="15">
        <f t="shared" ref="J29:J30" si="4">AVERAGE(E29:I29)</f>
        <v>97.465999999999994</v>
      </c>
      <c r="K29" s="11" t="s">
        <v>22</v>
      </c>
      <c r="L29" s="11" t="s">
        <v>23</v>
      </c>
      <c r="M29" s="11" t="s">
        <v>24</v>
      </c>
      <c r="N29" s="11" t="s">
        <v>25</v>
      </c>
      <c r="O29" s="12">
        <v>71.459230000000005</v>
      </c>
      <c r="P29" s="12">
        <v>74.785404999999997</v>
      </c>
      <c r="Q29" s="28"/>
      <c r="R29" s="29"/>
    </row>
    <row r="30" spans="1:18" x14ac:dyDescent="0.2">
      <c r="A30" s="7" t="s">
        <v>17</v>
      </c>
      <c r="B30" s="7" t="s">
        <v>18</v>
      </c>
      <c r="C30" s="7" t="s">
        <v>19</v>
      </c>
      <c r="D30" s="9" t="s">
        <v>73</v>
      </c>
      <c r="E30" s="9">
        <v>99.783000000000001</v>
      </c>
      <c r="F30" s="9">
        <v>98.914000000000001</v>
      </c>
      <c r="G30" s="9">
        <v>97.7</v>
      </c>
      <c r="H30" s="9">
        <v>96.15</v>
      </c>
      <c r="I30" s="9">
        <v>94.6</v>
      </c>
      <c r="J30" s="9">
        <f t="shared" si="4"/>
        <v>97.429400000000015</v>
      </c>
      <c r="K30" s="13" t="s">
        <v>67</v>
      </c>
      <c r="L30" s="16" t="s">
        <v>68</v>
      </c>
      <c r="M30" s="13" t="s">
        <v>69</v>
      </c>
      <c r="N30" s="13" t="s">
        <v>58</v>
      </c>
      <c r="O30" s="9"/>
      <c r="P30" s="9"/>
      <c r="Q30" s="30"/>
      <c r="R30" s="29"/>
    </row>
    <row r="31" spans="1:18" ht="12.75" x14ac:dyDescent="0.2">
      <c r="A31" s="31"/>
      <c r="B31" s="32"/>
      <c r="C31" s="32"/>
      <c r="D31" s="32"/>
      <c r="E31" s="32"/>
      <c r="F31" s="32"/>
      <c r="G31" s="32"/>
      <c r="H31" s="32"/>
      <c r="I31" s="32"/>
      <c r="J31" s="32"/>
      <c r="K31" s="32"/>
      <c r="L31" s="32"/>
      <c r="M31" s="32"/>
      <c r="N31" s="32"/>
      <c r="O31" s="32"/>
      <c r="P31" s="32"/>
      <c r="Q31" s="32"/>
      <c r="R31" s="29"/>
    </row>
    <row r="32" spans="1:18" ht="15" x14ac:dyDescent="0.2">
      <c r="A32" s="11" t="s">
        <v>17</v>
      </c>
      <c r="B32" s="11" t="s">
        <v>18</v>
      </c>
      <c r="C32" s="11" t="s">
        <v>19</v>
      </c>
      <c r="D32" s="17" t="s">
        <v>74</v>
      </c>
      <c r="E32" s="18">
        <v>99.83</v>
      </c>
      <c r="F32" s="18">
        <v>98.956999999999994</v>
      </c>
      <c r="G32" s="18">
        <v>97.516999999999996</v>
      </c>
      <c r="H32" s="18">
        <v>96.05</v>
      </c>
      <c r="I32" s="18">
        <v>94.8</v>
      </c>
      <c r="J32" s="11">
        <f t="shared" ref="J32:J33" si="5">AVERAGE(E32:I32)</f>
        <v>97.430800000000005</v>
      </c>
      <c r="K32" s="18" t="s">
        <v>27</v>
      </c>
      <c r="L32" s="18" t="s">
        <v>28</v>
      </c>
      <c r="M32" s="18" t="s">
        <v>29</v>
      </c>
      <c r="N32" s="18" t="s">
        <v>30</v>
      </c>
      <c r="O32" s="19">
        <v>71.727467000000004</v>
      </c>
      <c r="P32" s="19">
        <v>74.919529999999995</v>
      </c>
      <c r="Q32" s="28"/>
      <c r="R32" s="29"/>
    </row>
    <row r="33" spans="1:18" ht="15" x14ac:dyDescent="0.25">
      <c r="A33" s="7" t="s">
        <v>17</v>
      </c>
      <c r="B33" s="7" t="s">
        <v>18</v>
      </c>
      <c r="C33" s="7" t="s">
        <v>19</v>
      </c>
      <c r="D33" s="9" t="s">
        <v>75</v>
      </c>
      <c r="E33" s="9">
        <v>99.832999999999998</v>
      </c>
      <c r="F33" s="9">
        <v>99.1</v>
      </c>
      <c r="G33" s="9">
        <v>97.6</v>
      </c>
      <c r="H33" s="9">
        <v>95.85</v>
      </c>
      <c r="I33" s="9">
        <v>95.016999999999996</v>
      </c>
      <c r="J33" s="14">
        <f t="shared" si="5"/>
        <v>97.48</v>
      </c>
      <c r="K33" s="13" t="s">
        <v>76</v>
      </c>
      <c r="L33" s="13" t="s">
        <v>68</v>
      </c>
      <c r="M33" s="13" t="s">
        <v>77</v>
      </c>
      <c r="N33" s="13" t="s">
        <v>78</v>
      </c>
      <c r="O33" s="9"/>
      <c r="P33" s="9"/>
      <c r="Q33" s="30"/>
      <c r="R33" s="29"/>
    </row>
    <row r="34" spans="1:18" ht="12.75" x14ac:dyDescent="0.2">
      <c r="A34" s="31"/>
      <c r="B34" s="32"/>
      <c r="C34" s="32"/>
      <c r="D34" s="32"/>
      <c r="E34" s="32"/>
      <c r="F34" s="32"/>
      <c r="G34" s="32"/>
      <c r="H34" s="32"/>
      <c r="I34" s="32"/>
      <c r="J34" s="32"/>
      <c r="K34" s="32"/>
      <c r="L34" s="32"/>
      <c r="M34" s="32"/>
      <c r="N34" s="32"/>
      <c r="O34" s="32"/>
      <c r="P34" s="32"/>
      <c r="Q34" s="32"/>
      <c r="R34" s="29"/>
    </row>
    <row r="35" spans="1:18" ht="15" x14ac:dyDescent="0.25">
      <c r="A35" s="11" t="s">
        <v>17</v>
      </c>
      <c r="B35" s="11" t="s">
        <v>18</v>
      </c>
      <c r="C35" s="11" t="s">
        <v>19</v>
      </c>
      <c r="D35" s="17" t="s">
        <v>79</v>
      </c>
      <c r="E35" s="18">
        <v>99.867000000000004</v>
      </c>
      <c r="F35" s="18">
        <v>98.942999999999998</v>
      </c>
      <c r="G35" s="18">
        <v>97.433000000000007</v>
      </c>
      <c r="H35" s="18">
        <v>96.082999999999998</v>
      </c>
      <c r="I35" s="18">
        <v>94.816999999999993</v>
      </c>
      <c r="J35" s="15">
        <f t="shared" ref="J35:J36" si="6">AVERAGE(E35:I35)</f>
        <v>97.428600000000003</v>
      </c>
      <c r="K35" s="18" t="s">
        <v>32</v>
      </c>
      <c r="L35" s="18" t="s">
        <v>33</v>
      </c>
      <c r="M35" s="18" t="s">
        <v>29</v>
      </c>
      <c r="N35" s="18" t="s">
        <v>34</v>
      </c>
      <c r="O35" s="18">
        <v>71.915233000000001</v>
      </c>
      <c r="P35" s="18">
        <v>75.160944000000001</v>
      </c>
      <c r="Q35" s="28"/>
      <c r="R35" s="29"/>
    </row>
    <row r="36" spans="1:18" ht="15" x14ac:dyDescent="0.2">
      <c r="A36" s="7" t="s">
        <v>17</v>
      </c>
      <c r="B36" s="7" t="s">
        <v>18</v>
      </c>
      <c r="C36" s="7" t="s">
        <v>19</v>
      </c>
      <c r="D36" s="9" t="s">
        <v>80</v>
      </c>
      <c r="E36" s="9">
        <v>99.832999999999998</v>
      </c>
      <c r="F36" s="9">
        <v>99.129000000000005</v>
      </c>
      <c r="G36" s="9">
        <v>97.716999999999999</v>
      </c>
      <c r="H36" s="9">
        <v>95.766999999999996</v>
      </c>
      <c r="I36" s="9">
        <v>94.716999999999999</v>
      </c>
      <c r="J36" s="13">
        <f t="shared" si="6"/>
        <v>97.432599999999994</v>
      </c>
      <c r="K36" s="13" t="s">
        <v>81</v>
      </c>
      <c r="L36" s="13" t="s">
        <v>82</v>
      </c>
      <c r="M36" s="13" t="s">
        <v>57</v>
      </c>
      <c r="N36" s="13" t="s">
        <v>83</v>
      </c>
      <c r="O36" s="9"/>
      <c r="P36" s="9"/>
      <c r="Q36" s="35"/>
      <c r="R36" s="29"/>
    </row>
    <row r="37" spans="1:18" ht="12.75" x14ac:dyDescent="0.2">
      <c r="A37" s="31"/>
      <c r="B37" s="32"/>
      <c r="C37" s="32"/>
      <c r="D37" s="32"/>
      <c r="E37" s="32"/>
      <c r="F37" s="32"/>
      <c r="G37" s="32"/>
      <c r="H37" s="32"/>
      <c r="I37" s="32"/>
      <c r="J37" s="32"/>
      <c r="K37" s="32"/>
      <c r="L37" s="32"/>
      <c r="M37" s="32"/>
      <c r="N37" s="32"/>
      <c r="O37" s="32"/>
      <c r="P37" s="32"/>
      <c r="Q37" s="32"/>
      <c r="R37" s="29"/>
    </row>
    <row r="38" spans="1:18" ht="15" x14ac:dyDescent="0.2">
      <c r="A38" s="11" t="s">
        <v>17</v>
      </c>
      <c r="B38" s="11" t="s">
        <v>18</v>
      </c>
      <c r="C38" s="11" t="s">
        <v>19</v>
      </c>
      <c r="D38" s="17" t="s">
        <v>84</v>
      </c>
      <c r="E38" s="18">
        <v>99.832999999999998</v>
      </c>
      <c r="F38" s="18">
        <v>98.986000000000004</v>
      </c>
      <c r="G38" s="18">
        <v>97.5</v>
      </c>
      <c r="H38" s="18">
        <v>95.85</v>
      </c>
      <c r="I38" s="18">
        <v>94.566999999999993</v>
      </c>
      <c r="J38" s="11">
        <f t="shared" ref="J38:J39" si="7">AVERAGE(E38:I38)</f>
        <v>97.347200000000001</v>
      </c>
      <c r="K38" s="18" t="s">
        <v>27</v>
      </c>
      <c r="L38" s="18" t="s">
        <v>36</v>
      </c>
      <c r="M38" s="18" t="s">
        <v>37</v>
      </c>
      <c r="N38" s="18" t="s">
        <v>38</v>
      </c>
      <c r="O38" s="18">
        <v>71.673820000000006</v>
      </c>
      <c r="P38" s="18">
        <v>74.704932999999997</v>
      </c>
      <c r="Q38" s="28"/>
      <c r="R38" s="29"/>
    </row>
    <row r="39" spans="1:18" ht="15" x14ac:dyDescent="0.2">
      <c r="A39" s="7" t="s">
        <v>17</v>
      </c>
      <c r="B39" s="7" t="s">
        <v>18</v>
      </c>
      <c r="C39" s="7" t="s">
        <v>19</v>
      </c>
      <c r="D39" s="9" t="s">
        <v>85</v>
      </c>
      <c r="E39" s="9">
        <v>99.832999999999998</v>
      </c>
      <c r="F39" s="9">
        <v>99</v>
      </c>
      <c r="G39" s="9">
        <v>97.667000000000002</v>
      </c>
      <c r="H39" s="9">
        <v>95.95</v>
      </c>
      <c r="I39" s="9">
        <v>94.933000000000007</v>
      </c>
      <c r="J39" s="13">
        <f t="shared" si="7"/>
        <v>97.476599999999991</v>
      </c>
      <c r="K39" s="13" t="s">
        <v>86</v>
      </c>
      <c r="L39" s="13" t="s">
        <v>87</v>
      </c>
      <c r="M39" s="13" t="s">
        <v>57</v>
      </c>
      <c r="N39" s="13" t="s">
        <v>88</v>
      </c>
      <c r="O39" s="9"/>
      <c r="P39" s="9"/>
      <c r="Q39" s="35"/>
      <c r="R39" s="29"/>
    </row>
    <row r="40" spans="1:18" ht="12.75" x14ac:dyDescent="0.2">
      <c r="A40" s="34"/>
      <c r="B40" s="32"/>
      <c r="C40" s="32"/>
      <c r="D40" s="32"/>
      <c r="E40" s="32"/>
      <c r="F40" s="32"/>
      <c r="G40" s="32"/>
      <c r="H40" s="32"/>
      <c r="I40" s="32"/>
      <c r="J40" s="32"/>
      <c r="K40" s="32"/>
      <c r="L40" s="32"/>
      <c r="M40" s="32"/>
      <c r="N40" s="32"/>
      <c r="O40" s="32"/>
      <c r="P40" s="32"/>
      <c r="Q40" s="32"/>
      <c r="R40" s="29"/>
    </row>
    <row r="41" spans="1:18" ht="15" x14ac:dyDescent="0.25">
      <c r="A41" s="11" t="s">
        <v>17</v>
      </c>
      <c r="B41" s="11" t="s">
        <v>18</v>
      </c>
      <c r="C41" s="11" t="s">
        <v>19</v>
      </c>
      <c r="D41" s="15" t="s">
        <v>72</v>
      </c>
      <c r="E41" s="11">
        <v>99.8</v>
      </c>
      <c r="F41" s="11">
        <v>99.03</v>
      </c>
      <c r="G41" s="11">
        <v>97.7</v>
      </c>
      <c r="H41" s="11">
        <v>96.016999999999996</v>
      </c>
      <c r="I41" s="11">
        <v>94.783000000000001</v>
      </c>
      <c r="J41" s="11">
        <f t="shared" ref="J41:J42" si="8">AVERAGE(E41:I41)</f>
        <v>97.465999999999994</v>
      </c>
      <c r="K41" s="11" t="s">
        <v>22</v>
      </c>
      <c r="L41" s="11" t="s">
        <v>23</v>
      </c>
      <c r="M41" s="11" t="s">
        <v>24</v>
      </c>
      <c r="N41" s="11" t="s">
        <v>25</v>
      </c>
      <c r="O41" s="12">
        <v>71.459230000000005</v>
      </c>
      <c r="P41" s="12">
        <v>74.785404999999997</v>
      </c>
      <c r="Q41" s="28"/>
      <c r="R41" s="29"/>
    </row>
    <row r="42" spans="1:18" x14ac:dyDescent="0.2">
      <c r="A42" s="7" t="s">
        <v>17</v>
      </c>
      <c r="B42" s="7" t="s">
        <v>18</v>
      </c>
      <c r="C42" s="7" t="s">
        <v>19</v>
      </c>
      <c r="D42" s="9" t="s">
        <v>89</v>
      </c>
      <c r="E42" s="9">
        <v>99.8</v>
      </c>
      <c r="F42" s="9">
        <v>99.043000000000006</v>
      </c>
      <c r="G42" s="9">
        <v>97.516999999999996</v>
      </c>
      <c r="H42" s="9">
        <v>96.016999999999996</v>
      </c>
      <c r="I42" s="9">
        <v>94.95</v>
      </c>
      <c r="J42" s="16">
        <f t="shared" si="8"/>
        <v>97.465400000000002</v>
      </c>
      <c r="K42" s="16" t="s">
        <v>48</v>
      </c>
      <c r="L42" s="16" t="s">
        <v>49</v>
      </c>
      <c r="M42" s="16" t="s">
        <v>50</v>
      </c>
      <c r="N42" s="16" t="s">
        <v>51</v>
      </c>
      <c r="O42" s="9">
        <v>72.290769999999995</v>
      </c>
      <c r="P42" s="9">
        <v>75.295067000000003</v>
      </c>
      <c r="Q42" s="30"/>
      <c r="R42" s="29"/>
    </row>
    <row r="43" spans="1:18" ht="12.75" x14ac:dyDescent="0.2">
      <c r="A43" s="31"/>
      <c r="B43" s="32"/>
      <c r="C43" s="32"/>
      <c r="D43" s="32"/>
      <c r="E43" s="32"/>
      <c r="F43" s="32"/>
      <c r="G43" s="32"/>
      <c r="H43" s="32"/>
      <c r="I43" s="32"/>
      <c r="J43" s="32"/>
      <c r="K43" s="32"/>
      <c r="L43" s="32"/>
      <c r="M43" s="32"/>
      <c r="N43" s="32"/>
      <c r="O43" s="32"/>
      <c r="P43" s="32"/>
      <c r="Q43" s="32"/>
      <c r="R43" s="29"/>
    </row>
    <row r="44" spans="1:18" ht="15" x14ac:dyDescent="0.2">
      <c r="A44" s="11" t="s">
        <v>17</v>
      </c>
      <c r="B44" s="11" t="s">
        <v>18</v>
      </c>
      <c r="C44" s="11" t="s">
        <v>19</v>
      </c>
      <c r="D44" s="17" t="s">
        <v>74</v>
      </c>
      <c r="E44" s="18">
        <v>99.83</v>
      </c>
      <c r="F44" s="18">
        <v>98.956999999999994</v>
      </c>
      <c r="G44" s="18">
        <v>97.516999999999996</v>
      </c>
      <c r="H44" s="18">
        <v>96.05</v>
      </c>
      <c r="I44" s="18">
        <v>94.8</v>
      </c>
      <c r="J44" s="11">
        <f t="shared" ref="J44:J45" si="9">AVERAGE(E44:I44)</f>
        <v>97.430800000000005</v>
      </c>
      <c r="K44" s="18" t="s">
        <v>27</v>
      </c>
      <c r="L44" s="18" t="s">
        <v>28</v>
      </c>
      <c r="M44" s="18" t="s">
        <v>29</v>
      </c>
      <c r="N44" s="18" t="s">
        <v>30</v>
      </c>
      <c r="O44" s="19">
        <v>71.727467000000004</v>
      </c>
      <c r="P44" s="19">
        <v>74.919529999999995</v>
      </c>
      <c r="Q44" s="28"/>
      <c r="R44" s="29"/>
    </row>
    <row r="45" spans="1:18" ht="15" x14ac:dyDescent="0.2">
      <c r="A45" s="7" t="s">
        <v>17</v>
      </c>
      <c r="B45" s="7" t="s">
        <v>18</v>
      </c>
      <c r="C45" s="7" t="s">
        <v>19</v>
      </c>
      <c r="D45" s="9" t="s">
        <v>90</v>
      </c>
      <c r="E45" s="9">
        <v>99.816999999999993</v>
      </c>
      <c r="F45" s="9">
        <v>99.1</v>
      </c>
      <c r="G45" s="9">
        <v>97.716999999999999</v>
      </c>
      <c r="H45" s="9">
        <v>95.882999999999996</v>
      </c>
      <c r="I45" s="9">
        <v>94.832999999999998</v>
      </c>
      <c r="J45" s="13">
        <f t="shared" si="9"/>
        <v>97.469999999999985</v>
      </c>
      <c r="K45" s="13" t="s">
        <v>91</v>
      </c>
      <c r="L45" s="13" t="s">
        <v>92</v>
      </c>
      <c r="M45" s="13" t="s">
        <v>93</v>
      </c>
      <c r="N45" s="13" t="s">
        <v>94</v>
      </c>
      <c r="O45" s="9">
        <v>72.34442</v>
      </c>
      <c r="P45" s="9">
        <v>75.456010000000006</v>
      </c>
      <c r="Q45" s="30"/>
      <c r="R45" s="29"/>
    </row>
    <row r="46" spans="1:18" ht="12.75" x14ac:dyDescent="0.2">
      <c r="A46" s="31"/>
      <c r="B46" s="32"/>
      <c r="C46" s="32"/>
      <c r="D46" s="32"/>
      <c r="E46" s="32"/>
      <c r="F46" s="32"/>
      <c r="G46" s="32"/>
      <c r="H46" s="32"/>
      <c r="I46" s="32"/>
      <c r="J46" s="32"/>
      <c r="K46" s="32"/>
      <c r="L46" s="32"/>
      <c r="M46" s="32"/>
      <c r="N46" s="32"/>
      <c r="O46" s="32"/>
      <c r="P46" s="32"/>
      <c r="Q46" s="32"/>
      <c r="R46" s="29"/>
    </row>
    <row r="47" spans="1:18" ht="15" x14ac:dyDescent="0.2">
      <c r="A47" s="11" t="s">
        <v>17</v>
      </c>
      <c r="B47" s="11" t="s">
        <v>18</v>
      </c>
      <c r="C47" s="11" t="s">
        <v>19</v>
      </c>
      <c r="D47" s="17" t="s">
        <v>79</v>
      </c>
      <c r="E47" s="18">
        <v>99.867000000000004</v>
      </c>
      <c r="F47" s="18">
        <v>98.942999999999998</v>
      </c>
      <c r="G47" s="18">
        <v>97.433000000000007</v>
      </c>
      <c r="H47" s="18">
        <v>96.082999999999998</v>
      </c>
      <c r="I47" s="18">
        <v>94.816999999999993</v>
      </c>
      <c r="J47" s="11">
        <f t="shared" ref="J47:J48" si="10">AVERAGE(E47:I47)</f>
        <v>97.428600000000003</v>
      </c>
      <c r="K47" s="18" t="s">
        <v>32</v>
      </c>
      <c r="L47" s="18" t="s">
        <v>33</v>
      </c>
      <c r="M47" s="18" t="s">
        <v>29</v>
      </c>
      <c r="N47" s="18" t="s">
        <v>34</v>
      </c>
      <c r="O47" s="18">
        <v>71.915233000000001</v>
      </c>
      <c r="P47" s="18">
        <v>75.160944000000001</v>
      </c>
      <c r="Q47" s="28"/>
      <c r="R47" s="29"/>
    </row>
    <row r="48" spans="1:18" ht="15" x14ac:dyDescent="0.2">
      <c r="A48" s="7" t="s">
        <v>17</v>
      </c>
      <c r="B48" s="7" t="s">
        <v>18</v>
      </c>
      <c r="C48" s="7" t="s">
        <v>19</v>
      </c>
      <c r="D48" s="9" t="s">
        <v>95</v>
      </c>
      <c r="E48" s="9">
        <v>99.832999999999998</v>
      </c>
      <c r="F48" s="9">
        <v>99.114000000000004</v>
      </c>
      <c r="G48" s="9">
        <v>97.683000000000007</v>
      </c>
      <c r="H48" s="9">
        <v>96.132999999999996</v>
      </c>
      <c r="I48" s="9">
        <v>94.8</v>
      </c>
      <c r="J48" s="13">
        <f t="shared" si="10"/>
        <v>97.512599999999992</v>
      </c>
      <c r="K48" s="13" t="s">
        <v>96</v>
      </c>
      <c r="L48" s="13" t="s">
        <v>97</v>
      </c>
      <c r="M48" s="13" t="s">
        <v>98</v>
      </c>
      <c r="N48" s="13" t="s">
        <v>99</v>
      </c>
      <c r="O48" s="9">
        <v>72.478539999999995</v>
      </c>
      <c r="P48" s="9">
        <v>75.509654999999995</v>
      </c>
      <c r="Q48" s="35"/>
      <c r="R48" s="29"/>
    </row>
    <row r="49" spans="1:18" ht="12.75" x14ac:dyDescent="0.2">
      <c r="A49" s="31"/>
      <c r="B49" s="32"/>
      <c r="C49" s="32"/>
      <c r="D49" s="32"/>
      <c r="E49" s="32"/>
      <c r="F49" s="32"/>
      <c r="G49" s="32"/>
      <c r="H49" s="32"/>
      <c r="I49" s="32"/>
      <c r="J49" s="32"/>
      <c r="K49" s="32"/>
      <c r="L49" s="32"/>
      <c r="M49" s="32"/>
      <c r="N49" s="32"/>
      <c r="O49" s="32"/>
      <c r="P49" s="32"/>
      <c r="Q49" s="32"/>
      <c r="R49" s="29"/>
    </row>
    <row r="50" spans="1:18" ht="15" x14ac:dyDescent="0.2">
      <c r="A50" s="11" t="s">
        <v>17</v>
      </c>
      <c r="B50" s="11" t="s">
        <v>18</v>
      </c>
      <c r="C50" s="11" t="s">
        <v>19</v>
      </c>
      <c r="D50" s="17" t="s">
        <v>84</v>
      </c>
      <c r="E50" s="18">
        <v>99.832999999999998</v>
      </c>
      <c r="F50" s="18">
        <v>98.986000000000004</v>
      </c>
      <c r="G50" s="18">
        <v>97.5</v>
      </c>
      <c r="H50" s="18">
        <v>95.85</v>
      </c>
      <c r="I50" s="18">
        <v>94.566999999999993</v>
      </c>
      <c r="J50" s="11">
        <f t="shared" ref="J50:J51" si="11">AVERAGE(E50:I50)</f>
        <v>97.347200000000001</v>
      </c>
      <c r="K50" s="18" t="s">
        <v>27</v>
      </c>
      <c r="L50" s="18" t="s">
        <v>36</v>
      </c>
      <c r="M50" s="18" t="s">
        <v>37</v>
      </c>
      <c r="N50" s="18" t="s">
        <v>38</v>
      </c>
      <c r="O50" s="18">
        <v>71.673820000000006</v>
      </c>
      <c r="P50" s="18">
        <v>74.704932999999997</v>
      </c>
      <c r="Q50" s="28"/>
      <c r="R50" s="29"/>
    </row>
    <row r="51" spans="1:18" ht="15" x14ac:dyDescent="0.2">
      <c r="A51" s="7" t="s">
        <v>17</v>
      </c>
      <c r="B51" s="7" t="s">
        <v>18</v>
      </c>
      <c r="C51" s="7" t="s">
        <v>19</v>
      </c>
      <c r="D51" s="9" t="s">
        <v>100</v>
      </c>
      <c r="E51" s="9">
        <v>99.8</v>
      </c>
      <c r="F51" s="9">
        <v>99.028999999999996</v>
      </c>
      <c r="G51" s="9">
        <v>97.966999999999999</v>
      </c>
      <c r="H51" s="9">
        <v>95.966999999999999</v>
      </c>
      <c r="I51" s="9">
        <v>94.85</v>
      </c>
      <c r="J51" s="13">
        <f t="shared" si="11"/>
        <v>97.522599999999983</v>
      </c>
      <c r="K51" s="13" t="s">
        <v>101</v>
      </c>
      <c r="L51" s="13" t="s">
        <v>102</v>
      </c>
      <c r="M51" s="13" t="s">
        <v>103</v>
      </c>
      <c r="N51" s="13" t="s">
        <v>104</v>
      </c>
      <c r="O51" s="9"/>
      <c r="P51" s="9"/>
      <c r="Q51" s="35"/>
      <c r="R51" s="29"/>
    </row>
    <row r="52" spans="1:18" ht="12.75" x14ac:dyDescent="0.2">
      <c r="A52" s="36" t="s">
        <v>105</v>
      </c>
      <c r="B52" s="32"/>
      <c r="C52" s="32"/>
      <c r="D52" s="32"/>
      <c r="E52" s="32"/>
      <c r="F52" s="32"/>
      <c r="G52" s="32"/>
      <c r="H52" s="32"/>
      <c r="I52" s="32"/>
      <c r="J52" s="32"/>
      <c r="K52" s="32"/>
      <c r="L52" s="32"/>
      <c r="M52" s="32"/>
      <c r="N52" s="32"/>
      <c r="O52" s="32"/>
      <c r="P52" s="29"/>
      <c r="Q52" s="10"/>
      <c r="R52" s="10"/>
    </row>
    <row r="53" spans="1:18" ht="12.75" x14ac:dyDescent="0.2">
      <c r="A53" s="11" t="s">
        <v>17</v>
      </c>
      <c r="B53" s="11" t="s">
        <v>18</v>
      </c>
      <c r="C53" s="11" t="s">
        <v>19</v>
      </c>
      <c r="D53" s="18" t="s">
        <v>79</v>
      </c>
      <c r="E53" s="18">
        <v>99.867000000000004</v>
      </c>
      <c r="F53" s="18">
        <v>98.942999999999998</v>
      </c>
      <c r="G53" s="18">
        <v>97.433000000000007</v>
      </c>
      <c r="H53" s="18">
        <v>96.082999999999998</v>
      </c>
      <c r="I53" s="18">
        <v>94.816999999999993</v>
      </c>
      <c r="J53" s="11">
        <f>AVERAGE(E53:I53)</f>
        <v>97.428600000000003</v>
      </c>
      <c r="K53" s="18" t="s">
        <v>32</v>
      </c>
      <c r="L53" s="18" t="s">
        <v>33</v>
      </c>
      <c r="M53" s="18" t="s">
        <v>29</v>
      </c>
      <c r="N53" s="18" t="s">
        <v>34</v>
      </c>
      <c r="O53" s="18">
        <v>71.915233000000001</v>
      </c>
      <c r="P53" s="18">
        <v>75.160944000000001</v>
      </c>
      <c r="Q53" s="28"/>
      <c r="R53" s="29"/>
    </row>
    <row r="54" spans="1:18" ht="12.75" x14ac:dyDescent="0.2">
      <c r="A54" s="37" t="s">
        <v>106</v>
      </c>
      <c r="B54" s="32"/>
      <c r="C54" s="32"/>
      <c r="D54" s="32"/>
      <c r="E54" s="32"/>
      <c r="F54" s="32"/>
      <c r="G54" s="32"/>
      <c r="H54" s="32"/>
      <c r="I54" s="32"/>
      <c r="J54" s="32"/>
      <c r="K54" s="32"/>
      <c r="L54" s="32"/>
      <c r="M54" s="32"/>
      <c r="N54" s="32"/>
      <c r="O54" s="32"/>
      <c r="P54" s="32"/>
      <c r="Q54" s="32"/>
      <c r="R54" s="29"/>
    </row>
    <row r="55" spans="1:18" ht="12.75" x14ac:dyDescent="0.2">
      <c r="A55" s="7" t="s">
        <v>17</v>
      </c>
      <c r="B55" s="7" t="s">
        <v>18</v>
      </c>
      <c r="C55" s="7" t="s">
        <v>19</v>
      </c>
      <c r="D55" s="9" t="s">
        <v>107</v>
      </c>
      <c r="E55" s="9">
        <v>99.832999999999998</v>
      </c>
      <c r="F55" s="9">
        <v>99.129000000000005</v>
      </c>
      <c r="G55" s="9">
        <v>97.716999999999999</v>
      </c>
      <c r="H55" s="9">
        <v>95.766999999999996</v>
      </c>
      <c r="I55" s="9">
        <v>94.716999999999999</v>
      </c>
      <c r="J55" s="9">
        <f t="shared" ref="J55:J57" si="12">AVERAGE(E55:I55)</f>
        <v>97.432599999999994</v>
      </c>
      <c r="K55" s="9" t="s">
        <v>81</v>
      </c>
      <c r="L55" s="9" t="s">
        <v>82</v>
      </c>
      <c r="M55" s="9" t="s">
        <v>57</v>
      </c>
      <c r="N55" s="9" t="s">
        <v>83</v>
      </c>
      <c r="O55" s="9">
        <v>72.424895000000006</v>
      </c>
      <c r="P55" s="9">
        <v>75</v>
      </c>
      <c r="Q55" s="35"/>
      <c r="R55" s="29"/>
    </row>
    <row r="56" spans="1:18" ht="12.75" x14ac:dyDescent="0.2">
      <c r="A56" s="7" t="s">
        <v>17</v>
      </c>
      <c r="B56" s="7" t="s">
        <v>18</v>
      </c>
      <c r="C56" s="7" t="s">
        <v>19</v>
      </c>
      <c r="D56" s="9" t="s">
        <v>108</v>
      </c>
      <c r="E56" s="9">
        <v>99.816999999999993</v>
      </c>
      <c r="F56" s="9">
        <v>99.057000000000002</v>
      </c>
      <c r="G56" s="9">
        <v>97.7</v>
      </c>
      <c r="H56" s="9">
        <v>95.816999999999993</v>
      </c>
      <c r="I56" s="9">
        <v>94.966999999999999</v>
      </c>
      <c r="J56" s="9">
        <f t="shared" si="12"/>
        <v>97.471599999999995</v>
      </c>
      <c r="K56" s="9" t="s">
        <v>109</v>
      </c>
      <c r="L56" s="9" t="s">
        <v>110</v>
      </c>
      <c r="M56" s="9" t="s">
        <v>111</v>
      </c>
      <c r="N56" s="9" t="s">
        <v>112</v>
      </c>
      <c r="O56" s="9">
        <v>72.398066999999998</v>
      </c>
      <c r="P56" s="9">
        <v>75.456010000000006</v>
      </c>
      <c r="Q56" s="35"/>
      <c r="R56" s="29"/>
    </row>
    <row r="57" spans="1:18" ht="15" x14ac:dyDescent="0.2">
      <c r="A57" s="7" t="s">
        <v>17</v>
      </c>
      <c r="B57" s="7" t="s">
        <v>18</v>
      </c>
      <c r="C57" s="7" t="s">
        <v>19</v>
      </c>
      <c r="D57" s="9" t="s">
        <v>113</v>
      </c>
      <c r="E57" s="9">
        <v>99.832999999999998</v>
      </c>
      <c r="F57" s="9">
        <v>99.114000000000004</v>
      </c>
      <c r="G57" s="9">
        <v>97.683000000000007</v>
      </c>
      <c r="H57" s="9">
        <v>96.132999999999996</v>
      </c>
      <c r="I57" s="9">
        <v>94.8</v>
      </c>
      <c r="J57" s="9">
        <f t="shared" si="12"/>
        <v>97.512599999999992</v>
      </c>
      <c r="K57" s="13" t="s">
        <v>96</v>
      </c>
      <c r="L57" s="13" t="s">
        <v>97</v>
      </c>
      <c r="M57" s="13" t="s">
        <v>98</v>
      </c>
      <c r="N57" s="13" t="s">
        <v>99</v>
      </c>
      <c r="O57" s="9">
        <v>72.478539999999995</v>
      </c>
      <c r="P57" s="9">
        <v>75.509654999999995</v>
      </c>
      <c r="Q57" s="35"/>
      <c r="R57" s="29"/>
    </row>
    <row r="58" spans="1:18" ht="12.75" x14ac:dyDescent="0.2">
      <c r="A58" s="37" t="s">
        <v>114</v>
      </c>
      <c r="B58" s="32"/>
      <c r="C58" s="32"/>
      <c r="D58" s="32"/>
      <c r="E58" s="32"/>
      <c r="F58" s="32"/>
      <c r="G58" s="32"/>
      <c r="H58" s="32"/>
      <c r="I58" s="32"/>
      <c r="J58" s="32"/>
      <c r="K58" s="32"/>
      <c r="L58" s="32"/>
      <c r="M58" s="32"/>
      <c r="N58" s="32"/>
      <c r="O58" s="32"/>
      <c r="P58" s="32"/>
      <c r="Q58" s="32"/>
      <c r="R58" s="29"/>
    </row>
    <row r="59" spans="1:18" ht="15" x14ac:dyDescent="0.2">
      <c r="A59" s="7" t="s">
        <v>17</v>
      </c>
      <c r="B59" s="7" t="s">
        <v>18</v>
      </c>
      <c r="C59" s="7" t="s">
        <v>19</v>
      </c>
      <c r="D59" s="9" t="s">
        <v>115</v>
      </c>
      <c r="E59" s="9">
        <v>99.816999999999993</v>
      </c>
      <c r="F59" s="9">
        <v>99.013999999999996</v>
      </c>
      <c r="G59" s="9">
        <v>97.766999999999996</v>
      </c>
      <c r="H59" s="9">
        <v>96.082999999999998</v>
      </c>
      <c r="I59" s="9">
        <v>95.066999999999993</v>
      </c>
      <c r="J59" s="13">
        <f t="shared" ref="J59:J61" si="13">AVERAGE(E59:I59)</f>
        <v>97.549599999999984</v>
      </c>
      <c r="K59" s="9" t="s">
        <v>116</v>
      </c>
      <c r="L59" s="13" t="s">
        <v>82</v>
      </c>
      <c r="M59" s="9" t="s">
        <v>117</v>
      </c>
      <c r="N59" s="9" t="s">
        <v>118</v>
      </c>
      <c r="O59" s="9">
        <v>72.371244000000004</v>
      </c>
      <c r="P59" s="9">
        <v>75.375540000000001</v>
      </c>
      <c r="Q59" s="35"/>
      <c r="R59" s="29"/>
    </row>
    <row r="60" spans="1:18" ht="15" x14ac:dyDescent="0.2">
      <c r="A60" s="7" t="s">
        <v>17</v>
      </c>
      <c r="B60" s="7" t="s">
        <v>18</v>
      </c>
      <c r="C60" s="7" t="s">
        <v>19</v>
      </c>
      <c r="D60" s="9" t="s">
        <v>119</v>
      </c>
      <c r="E60" s="9">
        <v>99.85</v>
      </c>
      <c r="F60" s="9">
        <v>98.986000000000004</v>
      </c>
      <c r="G60" s="9">
        <v>97.716999999999999</v>
      </c>
      <c r="H60" s="9">
        <v>95.85</v>
      </c>
      <c r="I60" s="9">
        <v>94.95</v>
      </c>
      <c r="J60" s="9">
        <f t="shared" si="13"/>
        <v>97.470600000000005</v>
      </c>
      <c r="K60" s="13" t="s">
        <v>120</v>
      </c>
      <c r="L60" s="9" t="s">
        <v>121</v>
      </c>
      <c r="M60" s="13" t="s">
        <v>122</v>
      </c>
      <c r="N60" s="13" t="s">
        <v>123</v>
      </c>
      <c r="O60" s="9">
        <v>72.666309999999996</v>
      </c>
      <c r="P60" s="9">
        <v>75.563305999999997</v>
      </c>
      <c r="Q60" s="35"/>
      <c r="R60" s="29"/>
    </row>
    <row r="61" spans="1:18" ht="12.75" x14ac:dyDescent="0.2">
      <c r="A61" s="7" t="s">
        <v>17</v>
      </c>
      <c r="B61" s="7" t="s">
        <v>18</v>
      </c>
      <c r="C61" s="7" t="s">
        <v>19</v>
      </c>
      <c r="D61" s="9" t="s">
        <v>124</v>
      </c>
      <c r="E61" s="9">
        <v>99.8</v>
      </c>
      <c r="F61" s="9">
        <v>99.070999999999998</v>
      </c>
      <c r="G61" s="9">
        <v>97.5</v>
      </c>
      <c r="H61" s="9">
        <v>96.117000000000004</v>
      </c>
      <c r="I61" s="9">
        <v>94.632999999999996</v>
      </c>
      <c r="J61" s="9">
        <f t="shared" si="13"/>
        <v>97.424199999999999</v>
      </c>
      <c r="K61" s="9" t="s">
        <v>109</v>
      </c>
      <c r="L61" s="9" t="s">
        <v>125</v>
      </c>
      <c r="M61" s="9" t="s">
        <v>126</v>
      </c>
      <c r="N61" s="9" t="s">
        <v>127</v>
      </c>
      <c r="O61" s="9">
        <v>72.559010000000001</v>
      </c>
      <c r="P61" s="9">
        <v>75.563305999999997</v>
      </c>
      <c r="Q61" s="35"/>
      <c r="R61" s="29"/>
    </row>
    <row r="62" spans="1:18" ht="12.75" x14ac:dyDescent="0.2">
      <c r="A62" s="54" t="s">
        <v>128</v>
      </c>
      <c r="B62" s="32"/>
      <c r="C62" s="32"/>
      <c r="D62" s="32"/>
      <c r="E62" s="32"/>
      <c r="F62" s="32"/>
      <c r="G62" s="32"/>
      <c r="H62" s="32"/>
      <c r="I62" s="32"/>
      <c r="J62" s="32"/>
      <c r="K62" s="32"/>
      <c r="L62" s="32"/>
      <c r="M62" s="32"/>
      <c r="N62" s="32"/>
      <c r="O62" s="32"/>
      <c r="P62" s="32"/>
      <c r="Q62" s="32"/>
      <c r="R62" s="29"/>
    </row>
    <row r="63" spans="1:18" ht="15" x14ac:dyDescent="0.25">
      <c r="A63" s="20" t="s">
        <v>17</v>
      </c>
      <c r="B63" s="20" t="s">
        <v>18</v>
      </c>
      <c r="C63" s="20" t="s">
        <v>19</v>
      </c>
      <c r="D63" s="20" t="s">
        <v>129</v>
      </c>
      <c r="E63" s="21">
        <v>99.85</v>
      </c>
      <c r="F63" s="20">
        <v>99.171000000000006</v>
      </c>
      <c r="G63" s="20">
        <v>97.667000000000002</v>
      </c>
      <c r="H63" s="20">
        <v>95.966999999999999</v>
      </c>
      <c r="I63" s="20">
        <v>94.8</v>
      </c>
      <c r="J63" s="7">
        <f t="shared" ref="J63:J64" si="14">AVERAGE(E63:I63)</f>
        <v>97.491</v>
      </c>
      <c r="K63" s="14" t="s">
        <v>130</v>
      </c>
      <c r="L63" s="20" t="s">
        <v>131</v>
      </c>
      <c r="M63" s="14" t="s">
        <v>111</v>
      </c>
      <c r="N63" s="14" t="s">
        <v>132</v>
      </c>
      <c r="O63" s="14">
        <v>72.746782999999994</v>
      </c>
      <c r="P63" s="14">
        <v>75.938839999999999</v>
      </c>
      <c r="Q63" s="38"/>
      <c r="R63" s="29"/>
    </row>
    <row r="64" spans="1:18" ht="15" x14ac:dyDescent="0.25">
      <c r="A64" s="20" t="s">
        <v>17</v>
      </c>
      <c r="B64" s="20" t="s">
        <v>18</v>
      </c>
      <c r="C64" s="20" t="s">
        <v>19</v>
      </c>
      <c r="D64" s="20" t="s">
        <v>133</v>
      </c>
      <c r="E64" s="21">
        <v>99.816999999999993</v>
      </c>
      <c r="F64" s="20">
        <v>99.156999999999996</v>
      </c>
      <c r="G64" s="20">
        <v>97.716999999999999</v>
      </c>
      <c r="H64" s="20">
        <v>96.066999999999993</v>
      </c>
      <c r="I64" s="20">
        <v>94.783000000000001</v>
      </c>
      <c r="J64" s="14">
        <f t="shared" si="14"/>
        <v>97.508200000000002</v>
      </c>
      <c r="K64" s="20" t="s">
        <v>134</v>
      </c>
      <c r="L64" s="14" t="s">
        <v>135</v>
      </c>
      <c r="M64" s="20" t="s">
        <v>103</v>
      </c>
      <c r="N64" s="20" t="s">
        <v>136</v>
      </c>
      <c r="O64" s="20">
        <v>72.693133000000003</v>
      </c>
      <c r="P64" s="20">
        <v>76.046139999999994</v>
      </c>
      <c r="Q64" s="38"/>
      <c r="R64" s="29"/>
    </row>
    <row r="65" spans="1:18" ht="12.75" x14ac:dyDescent="0.2">
      <c r="A65" s="54" t="s">
        <v>137</v>
      </c>
      <c r="B65" s="32"/>
      <c r="C65" s="32"/>
      <c r="D65" s="32"/>
      <c r="E65" s="32"/>
      <c r="F65" s="32"/>
      <c r="G65" s="32"/>
      <c r="H65" s="32"/>
      <c r="I65" s="32"/>
      <c r="J65" s="32"/>
      <c r="K65" s="32"/>
      <c r="L65" s="32"/>
      <c r="M65" s="32"/>
      <c r="N65" s="32"/>
      <c r="O65" s="32"/>
      <c r="P65" s="32"/>
      <c r="Q65" s="32"/>
      <c r="R65" s="29"/>
    </row>
    <row r="66" spans="1:18" ht="15" x14ac:dyDescent="0.2">
      <c r="A66" s="7" t="s">
        <v>17</v>
      </c>
      <c r="B66" s="7" t="s">
        <v>18</v>
      </c>
      <c r="C66" s="7" t="s">
        <v>19</v>
      </c>
      <c r="D66" s="9" t="s">
        <v>138</v>
      </c>
      <c r="E66" s="9">
        <v>99.783000000000001</v>
      </c>
      <c r="F66" s="9">
        <v>99.1</v>
      </c>
      <c r="G66" s="9">
        <v>97.733000000000004</v>
      </c>
      <c r="H66" s="9">
        <v>96.132999999999996</v>
      </c>
      <c r="I66" s="9">
        <v>94.533000000000001</v>
      </c>
      <c r="J66" s="9">
        <f t="shared" ref="J66:J67" si="15">AVERAGE(E66:I66)</f>
        <v>97.456400000000002</v>
      </c>
      <c r="K66" s="9"/>
      <c r="L66" s="9"/>
      <c r="M66" s="13"/>
      <c r="N66" s="13"/>
      <c r="O66" s="9"/>
      <c r="P66" s="9"/>
      <c r="Q66" s="35"/>
      <c r="R66" s="29"/>
    </row>
    <row r="67" spans="1:18" ht="15" x14ac:dyDescent="0.2">
      <c r="A67" s="7" t="s">
        <v>17</v>
      </c>
      <c r="B67" s="7" t="s">
        <v>18</v>
      </c>
      <c r="C67" s="7" t="s">
        <v>19</v>
      </c>
      <c r="D67" s="9" t="s">
        <v>139</v>
      </c>
      <c r="E67" s="9">
        <v>99.832999999999998</v>
      </c>
      <c r="F67" s="9">
        <v>99.114000000000004</v>
      </c>
      <c r="G67" s="9">
        <v>97.683000000000007</v>
      </c>
      <c r="H67" s="9">
        <v>96.132999999999996</v>
      </c>
      <c r="I67" s="9">
        <v>94.8</v>
      </c>
      <c r="J67" s="13">
        <f t="shared" si="15"/>
        <v>97.512599999999992</v>
      </c>
      <c r="K67" s="9" t="s">
        <v>140</v>
      </c>
      <c r="L67" s="9" t="s">
        <v>141</v>
      </c>
      <c r="M67" s="13" t="s">
        <v>142</v>
      </c>
      <c r="N67" s="13" t="s">
        <v>143</v>
      </c>
      <c r="O67" s="9"/>
      <c r="P67" s="9"/>
      <c r="Q67" s="35"/>
      <c r="R67" s="29"/>
    </row>
    <row r="68" spans="1:18" ht="12.75" x14ac:dyDescent="0.2">
      <c r="A68" s="36" t="s">
        <v>144</v>
      </c>
      <c r="B68" s="32"/>
      <c r="C68" s="32"/>
      <c r="D68" s="32"/>
      <c r="E68" s="32"/>
      <c r="F68" s="32"/>
      <c r="G68" s="32"/>
      <c r="H68" s="32"/>
      <c r="I68" s="32"/>
      <c r="J68" s="32"/>
      <c r="K68" s="32"/>
      <c r="L68" s="32"/>
      <c r="M68" s="32"/>
      <c r="N68" s="32"/>
      <c r="O68" s="32"/>
      <c r="P68" s="32"/>
      <c r="Q68" s="32"/>
      <c r="R68" s="29"/>
    </row>
    <row r="69" spans="1:18" ht="12.75" x14ac:dyDescent="0.2">
      <c r="A69" s="11" t="s">
        <v>145</v>
      </c>
      <c r="B69" s="11" t="s">
        <v>146</v>
      </c>
      <c r="C69" s="11" t="s">
        <v>19</v>
      </c>
      <c r="D69" s="18" t="s">
        <v>147</v>
      </c>
      <c r="E69" s="18">
        <v>99.83</v>
      </c>
      <c r="F69" s="18">
        <v>99.01</v>
      </c>
      <c r="G69" s="18">
        <v>97.67</v>
      </c>
      <c r="H69" s="18">
        <v>96</v>
      </c>
      <c r="I69" s="18">
        <v>95.4</v>
      </c>
      <c r="J69" s="11">
        <f t="shared" ref="J69:J72" si="16">AVERAGE(E69:I69)</f>
        <v>97.581999999999994</v>
      </c>
      <c r="K69" s="18" t="s">
        <v>148</v>
      </c>
      <c r="L69" s="18" t="s">
        <v>149</v>
      </c>
      <c r="M69" s="18" t="s">
        <v>57</v>
      </c>
      <c r="N69" s="18" t="s">
        <v>149</v>
      </c>
      <c r="O69" s="18" t="s">
        <v>150</v>
      </c>
      <c r="P69" s="18" t="s">
        <v>151</v>
      </c>
      <c r="Q69" s="35"/>
      <c r="R69" s="29"/>
    </row>
    <row r="70" spans="1:18" ht="12.75" x14ac:dyDescent="0.2">
      <c r="A70" s="11" t="s">
        <v>145</v>
      </c>
      <c r="B70" s="11" t="s">
        <v>146</v>
      </c>
      <c r="C70" s="11" t="s">
        <v>19</v>
      </c>
      <c r="D70" s="18" t="s">
        <v>152</v>
      </c>
      <c r="E70" s="18">
        <v>99.82</v>
      </c>
      <c r="F70" s="18">
        <v>98.9</v>
      </c>
      <c r="G70" s="18">
        <v>97.53</v>
      </c>
      <c r="H70" s="18">
        <v>95.92</v>
      </c>
      <c r="I70" s="18">
        <v>95.3</v>
      </c>
      <c r="J70" s="11">
        <f t="shared" si="16"/>
        <v>97.494</v>
      </c>
      <c r="K70" s="18" t="s">
        <v>153</v>
      </c>
      <c r="L70" s="18" t="s">
        <v>154</v>
      </c>
      <c r="M70" s="18" t="s">
        <v>155</v>
      </c>
      <c r="N70" s="18" t="s">
        <v>64</v>
      </c>
      <c r="O70" s="18" t="s">
        <v>156</v>
      </c>
      <c r="P70" s="18" t="s">
        <v>157</v>
      </c>
      <c r="Q70" s="35"/>
      <c r="R70" s="29"/>
    </row>
    <row r="71" spans="1:18" ht="12.75" x14ac:dyDescent="0.2">
      <c r="A71" s="7" t="s">
        <v>145</v>
      </c>
      <c r="B71" s="7" t="s">
        <v>146</v>
      </c>
      <c r="C71" s="7" t="s">
        <v>158</v>
      </c>
      <c r="D71" s="9" t="s">
        <v>159</v>
      </c>
      <c r="E71" s="9">
        <v>99.783000000000001</v>
      </c>
      <c r="F71" s="9">
        <v>99.071399999999997</v>
      </c>
      <c r="G71" s="9">
        <v>97.465999999999994</v>
      </c>
      <c r="H71" s="9">
        <v>95.9</v>
      </c>
      <c r="I71" s="9">
        <v>95.283000000000001</v>
      </c>
      <c r="J71" s="7">
        <f t="shared" si="16"/>
        <v>97.500680000000017</v>
      </c>
      <c r="K71" s="9" t="s">
        <v>160</v>
      </c>
      <c r="L71" s="9" t="s">
        <v>161</v>
      </c>
      <c r="M71" s="9" t="s">
        <v>50</v>
      </c>
      <c r="N71" s="9" t="s">
        <v>162</v>
      </c>
      <c r="O71" s="9">
        <v>75.134</v>
      </c>
      <c r="P71" s="9">
        <v>78.272499999999994</v>
      </c>
      <c r="Q71" s="35"/>
      <c r="R71" s="29"/>
    </row>
    <row r="72" spans="1:18" ht="12.75" x14ac:dyDescent="0.2">
      <c r="A72" s="7" t="s">
        <v>145</v>
      </c>
      <c r="B72" s="7" t="s">
        <v>146</v>
      </c>
      <c r="C72" s="7" t="s">
        <v>19</v>
      </c>
      <c r="D72" s="9" t="s">
        <v>163</v>
      </c>
      <c r="E72" s="9">
        <v>99.82</v>
      </c>
      <c r="F72" s="9">
        <v>99.03</v>
      </c>
      <c r="G72" s="9">
        <v>97.68</v>
      </c>
      <c r="H72" s="9">
        <v>95.82</v>
      </c>
      <c r="I72" s="9">
        <v>95.33</v>
      </c>
      <c r="J72" s="7">
        <f t="shared" si="16"/>
        <v>97.535999999999987</v>
      </c>
      <c r="K72" s="9" t="s">
        <v>164</v>
      </c>
      <c r="L72" s="9" t="s">
        <v>165</v>
      </c>
      <c r="M72" s="9" t="s">
        <v>166</v>
      </c>
      <c r="N72" s="9" t="s">
        <v>88</v>
      </c>
      <c r="O72" s="9" t="s">
        <v>167</v>
      </c>
      <c r="P72" s="9" t="s">
        <v>168</v>
      </c>
      <c r="Q72" s="35"/>
      <c r="R72" s="29"/>
    </row>
    <row r="73" spans="1:18" ht="12.75" x14ac:dyDescent="0.2">
      <c r="A73" s="7" t="s">
        <v>145</v>
      </c>
      <c r="B73" s="7" t="s">
        <v>146</v>
      </c>
      <c r="C73" s="7" t="s">
        <v>19</v>
      </c>
      <c r="D73" s="9" t="s">
        <v>169</v>
      </c>
      <c r="E73" s="9"/>
      <c r="F73" s="9"/>
      <c r="G73" s="9"/>
      <c r="H73" s="9"/>
      <c r="I73" s="9"/>
      <c r="J73" s="7"/>
      <c r="K73" s="9"/>
      <c r="L73" s="9"/>
      <c r="M73" s="9"/>
      <c r="N73" s="9"/>
      <c r="O73" s="9"/>
      <c r="P73" s="9"/>
      <c r="Q73" s="35"/>
      <c r="R73" s="29"/>
    </row>
    <row r="74" spans="1:18" ht="12.75" x14ac:dyDescent="0.2">
      <c r="A74" s="11" t="s">
        <v>145</v>
      </c>
      <c r="B74" s="11" t="s">
        <v>146</v>
      </c>
      <c r="C74" s="11" t="s">
        <v>170</v>
      </c>
      <c r="D74" s="18" t="s">
        <v>171</v>
      </c>
      <c r="E74" s="18"/>
      <c r="F74" s="18"/>
      <c r="G74" s="18"/>
      <c r="H74" s="18"/>
      <c r="I74" s="18"/>
      <c r="J74" s="11"/>
      <c r="K74" s="18"/>
      <c r="L74" s="18"/>
      <c r="M74" s="18"/>
      <c r="N74" s="18"/>
      <c r="O74" s="18"/>
      <c r="P74" s="18"/>
      <c r="Q74" s="38"/>
      <c r="R74" s="29"/>
    </row>
    <row r="75" spans="1:18" ht="12.75" x14ac:dyDescent="0.2">
      <c r="A75" s="7" t="s">
        <v>145</v>
      </c>
      <c r="B75" s="7" t="s">
        <v>146</v>
      </c>
      <c r="C75" s="7" t="s">
        <v>170</v>
      </c>
      <c r="D75" s="9" t="s">
        <v>169</v>
      </c>
      <c r="E75" s="9"/>
      <c r="F75" s="9"/>
      <c r="G75" s="9"/>
      <c r="H75" s="9"/>
      <c r="I75" s="9"/>
      <c r="J75" s="7"/>
      <c r="K75" s="9"/>
      <c r="L75" s="9"/>
      <c r="M75" s="9"/>
      <c r="N75" s="9"/>
      <c r="O75" s="9"/>
      <c r="P75" s="9"/>
      <c r="Q75" s="35"/>
      <c r="R75" s="29"/>
    </row>
    <row r="76" spans="1:18" ht="12.75" x14ac:dyDescent="0.2">
      <c r="A76" s="54" t="s">
        <v>172</v>
      </c>
      <c r="B76" s="32"/>
      <c r="C76" s="32"/>
      <c r="D76" s="32"/>
      <c r="E76" s="32"/>
      <c r="F76" s="32"/>
      <c r="G76" s="32"/>
      <c r="H76" s="32"/>
      <c r="I76" s="32"/>
      <c r="J76" s="32"/>
      <c r="K76" s="32"/>
      <c r="L76" s="32"/>
      <c r="M76" s="32"/>
      <c r="N76" s="32"/>
      <c r="O76" s="32"/>
      <c r="P76" s="32"/>
      <c r="Q76" s="32"/>
      <c r="R76" s="29"/>
    </row>
    <row r="77" spans="1:18" ht="12.75" x14ac:dyDescent="0.2">
      <c r="A77" s="7" t="s">
        <v>173</v>
      </c>
      <c r="B77" s="7" t="s">
        <v>146</v>
      </c>
      <c r="C77" s="7" t="s">
        <v>158</v>
      </c>
      <c r="D77" s="9" t="s">
        <v>171</v>
      </c>
      <c r="E77" s="9"/>
      <c r="F77" s="9"/>
      <c r="G77" s="9"/>
      <c r="H77" s="9"/>
      <c r="I77" s="9"/>
      <c r="J77" s="7" t="e">
        <f t="shared" ref="J77:J79" si="17">AVERAGE(E77:I77)</f>
        <v>#DIV/0!</v>
      </c>
      <c r="K77" s="9" t="s">
        <v>112</v>
      </c>
      <c r="L77" s="9" t="s">
        <v>174</v>
      </c>
      <c r="M77" s="9" t="s">
        <v>175</v>
      </c>
      <c r="N77" s="9" t="s">
        <v>176</v>
      </c>
      <c r="O77" s="9" t="s">
        <v>177</v>
      </c>
      <c r="P77" s="9" t="s">
        <v>178</v>
      </c>
      <c r="Q77" s="38"/>
      <c r="R77" s="29"/>
    </row>
    <row r="78" spans="1:18" ht="12.75" x14ac:dyDescent="0.2">
      <c r="A78" s="7" t="s">
        <v>173</v>
      </c>
      <c r="B78" s="7" t="s">
        <v>146</v>
      </c>
      <c r="C78" s="7" t="s">
        <v>19</v>
      </c>
      <c r="D78" s="9" t="s">
        <v>179</v>
      </c>
      <c r="E78" s="9">
        <v>99.78</v>
      </c>
      <c r="F78" s="9">
        <v>98.93</v>
      </c>
      <c r="G78" s="9">
        <v>97.02</v>
      </c>
      <c r="H78" s="9">
        <v>95.97</v>
      </c>
      <c r="I78" s="9">
        <v>95.08</v>
      </c>
      <c r="J78" s="7">
        <f t="shared" si="17"/>
        <v>97.356000000000009</v>
      </c>
      <c r="K78" s="9" t="s">
        <v>51</v>
      </c>
      <c r="L78" s="9" t="s">
        <v>180</v>
      </c>
      <c r="M78" s="9" t="s">
        <v>181</v>
      </c>
      <c r="N78" s="9" t="s">
        <v>182</v>
      </c>
      <c r="O78" s="9" t="s">
        <v>183</v>
      </c>
      <c r="P78" s="9" t="s">
        <v>184</v>
      </c>
      <c r="Q78" s="38"/>
      <c r="R78" s="29"/>
    </row>
    <row r="79" spans="1:18" ht="12.75" x14ac:dyDescent="0.2">
      <c r="A79" s="7" t="s">
        <v>173</v>
      </c>
      <c r="B79" s="7" t="s">
        <v>146</v>
      </c>
      <c r="C79" s="7" t="s">
        <v>19</v>
      </c>
      <c r="D79" s="9" t="s">
        <v>185</v>
      </c>
      <c r="E79" s="9">
        <v>99.766000000000005</v>
      </c>
      <c r="F79" s="9">
        <v>98.94</v>
      </c>
      <c r="G79" s="9">
        <v>97.53</v>
      </c>
      <c r="H79" s="9">
        <v>95.9</v>
      </c>
      <c r="I79" s="9">
        <v>95.1</v>
      </c>
      <c r="J79" s="7">
        <f t="shared" si="17"/>
        <v>97.447199999999995</v>
      </c>
      <c r="K79" s="9" t="s">
        <v>186</v>
      </c>
      <c r="L79" s="9" t="s">
        <v>187</v>
      </c>
      <c r="M79" s="9" t="s">
        <v>188</v>
      </c>
      <c r="N79" s="9" t="s">
        <v>189</v>
      </c>
      <c r="O79" s="9">
        <v>74.83</v>
      </c>
      <c r="P79" s="9" t="s">
        <v>168</v>
      </c>
      <c r="Q79" s="38"/>
      <c r="R79" s="29"/>
    </row>
    <row r="80" spans="1:18" ht="12.75" x14ac:dyDescent="0.2">
      <c r="A80" s="7"/>
      <c r="B80" s="7"/>
      <c r="C80" s="7"/>
      <c r="D80" s="9"/>
      <c r="E80" s="9"/>
      <c r="F80" s="9"/>
      <c r="G80" s="9"/>
      <c r="H80" s="9"/>
      <c r="I80" s="9"/>
      <c r="J80" s="7"/>
      <c r="K80" s="9"/>
      <c r="L80" s="9"/>
      <c r="M80" s="9"/>
      <c r="N80" s="9"/>
      <c r="O80" s="9"/>
      <c r="P80" s="9"/>
      <c r="Q80" s="38"/>
      <c r="R80" s="29"/>
    </row>
    <row r="81" spans="1:18" ht="12.75" x14ac:dyDescent="0.2">
      <c r="A81" s="54" t="s">
        <v>190</v>
      </c>
      <c r="B81" s="32"/>
      <c r="C81" s="32"/>
      <c r="D81" s="32"/>
      <c r="E81" s="32"/>
      <c r="F81" s="32"/>
      <c r="G81" s="32"/>
      <c r="H81" s="32"/>
      <c r="I81" s="32"/>
      <c r="J81" s="32"/>
      <c r="K81" s="32"/>
      <c r="L81" s="32"/>
      <c r="M81" s="32"/>
      <c r="N81" s="32"/>
      <c r="O81" s="32"/>
      <c r="P81" s="32"/>
      <c r="Q81" s="32"/>
      <c r="R81" s="29"/>
    </row>
    <row r="82" spans="1:18" ht="12.75" x14ac:dyDescent="0.2">
      <c r="A82" s="7" t="s">
        <v>173</v>
      </c>
      <c r="B82" s="7" t="s">
        <v>146</v>
      </c>
      <c r="C82" s="7" t="s">
        <v>191</v>
      </c>
      <c r="D82" s="22" t="s">
        <v>192</v>
      </c>
      <c r="E82" s="9">
        <v>99.42</v>
      </c>
      <c r="F82" s="9">
        <v>95.11</v>
      </c>
      <c r="G82" s="9">
        <v>94.17</v>
      </c>
      <c r="H82" s="9">
        <v>94.28</v>
      </c>
      <c r="I82" s="9">
        <v>90.48</v>
      </c>
      <c r="J82" s="9">
        <f t="shared" ref="J82:J85" si="18">AVERAGE(E82:I82)</f>
        <v>94.692000000000007</v>
      </c>
      <c r="K82" s="9" t="s">
        <v>193</v>
      </c>
      <c r="L82" s="9" t="s">
        <v>194</v>
      </c>
      <c r="M82" s="9" t="s">
        <v>195</v>
      </c>
      <c r="N82" s="9" t="s">
        <v>196</v>
      </c>
      <c r="O82" s="9" t="s">
        <v>197</v>
      </c>
      <c r="P82" s="9" t="s">
        <v>198</v>
      </c>
      <c r="Q82" s="35"/>
      <c r="R82" s="29"/>
    </row>
    <row r="83" spans="1:18" ht="12.75" x14ac:dyDescent="0.2">
      <c r="A83" s="7" t="s">
        <v>173</v>
      </c>
      <c r="B83" s="7" t="s">
        <v>146</v>
      </c>
      <c r="C83" s="7" t="s">
        <v>191</v>
      </c>
      <c r="D83" s="22" t="s">
        <v>199</v>
      </c>
      <c r="E83" s="9">
        <v>99.5</v>
      </c>
      <c r="F83" s="9">
        <v>95.742859999999993</v>
      </c>
      <c r="G83" s="9">
        <v>94.433329999999998</v>
      </c>
      <c r="H83" s="9">
        <v>94.25</v>
      </c>
      <c r="I83" s="9">
        <v>90.766670000000005</v>
      </c>
      <c r="J83" s="9">
        <f t="shared" si="18"/>
        <v>94.938571999999994</v>
      </c>
      <c r="K83" s="9" t="s">
        <v>200</v>
      </c>
      <c r="L83" s="9" t="s">
        <v>201</v>
      </c>
      <c r="M83" s="9" t="s">
        <v>202</v>
      </c>
      <c r="N83" s="9">
        <v>79.59</v>
      </c>
      <c r="O83" s="9">
        <v>66.790000000000006</v>
      </c>
      <c r="P83" s="9">
        <v>71.92</v>
      </c>
      <c r="Q83" s="35"/>
      <c r="R83" s="29"/>
    </row>
    <row r="84" spans="1:18" ht="12.75" x14ac:dyDescent="0.2">
      <c r="A84" s="7" t="s">
        <v>173</v>
      </c>
      <c r="B84" s="7" t="s">
        <v>146</v>
      </c>
      <c r="C84" s="7" t="s">
        <v>191</v>
      </c>
      <c r="D84" s="22" t="s">
        <v>171</v>
      </c>
      <c r="E84" s="9">
        <v>99.37</v>
      </c>
      <c r="F84" s="9">
        <v>95.54</v>
      </c>
      <c r="G84" s="9">
        <v>94.72</v>
      </c>
      <c r="H84" s="9">
        <v>94.47</v>
      </c>
      <c r="I84" s="9">
        <v>90.55</v>
      </c>
      <c r="J84" s="9">
        <f t="shared" si="18"/>
        <v>94.93</v>
      </c>
      <c r="K84" s="9" t="s">
        <v>203</v>
      </c>
      <c r="L84" s="9" t="s">
        <v>204</v>
      </c>
      <c r="M84" s="9" t="s">
        <v>205</v>
      </c>
      <c r="N84" s="9" t="s">
        <v>206</v>
      </c>
      <c r="O84" s="9" t="s">
        <v>207</v>
      </c>
      <c r="P84" s="9" t="s">
        <v>208</v>
      </c>
      <c r="Q84" s="35"/>
      <c r="R84" s="29"/>
    </row>
    <row r="85" spans="1:18" ht="12.75" x14ac:dyDescent="0.2">
      <c r="A85" s="7" t="s">
        <v>173</v>
      </c>
      <c r="B85" s="7" t="s">
        <v>146</v>
      </c>
      <c r="C85" s="7" t="s">
        <v>191</v>
      </c>
      <c r="D85" s="22" t="s">
        <v>209</v>
      </c>
      <c r="E85" s="9">
        <v>99.58</v>
      </c>
      <c r="F85" s="9">
        <v>95</v>
      </c>
      <c r="G85" s="9">
        <v>94.62</v>
      </c>
      <c r="H85" s="9">
        <v>94.17</v>
      </c>
      <c r="I85" s="9">
        <v>90.85</v>
      </c>
      <c r="J85" s="9">
        <f t="shared" si="18"/>
        <v>94.844000000000008</v>
      </c>
      <c r="K85" s="9" t="s">
        <v>210</v>
      </c>
      <c r="L85" s="9" t="s">
        <v>211</v>
      </c>
      <c r="M85" s="9" t="s">
        <v>212</v>
      </c>
      <c r="N85" s="9" t="s">
        <v>168</v>
      </c>
      <c r="O85" s="9" t="s">
        <v>213</v>
      </c>
      <c r="P85" s="9" t="s">
        <v>214</v>
      </c>
      <c r="Q85" s="35"/>
      <c r="R85" s="29"/>
    </row>
    <row r="86" spans="1:18" ht="12.75" x14ac:dyDescent="0.2">
      <c r="A86" s="54" t="s">
        <v>215</v>
      </c>
      <c r="B86" s="32"/>
      <c r="C86" s="32"/>
      <c r="D86" s="32"/>
      <c r="E86" s="32"/>
      <c r="F86" s="32"/>
      <c r="G86" s="32"/>
      <c r="H86" s="32"/>
      <c r="I86" s="32"/>
      <c r="J86" s="32"/>
      <c r="K86" s="32"/>
      <c r="L86" s="32"/>
      <c r="M86" s="32"/>
      <c r="N86" s="32"/>
      <c r="O86" s="32"/>
      <c r="P86" s="32"/>
      <c r="Q86" s="32"/>
      <c r="R86" s="29"/>
    </row>
    <row r="87" spans="1:18" ht="12.75" x14ac:dyDescent="0.2">
      <c r="A87" s="11" t="s">
        <v>173</v>
      </c>
      <c r="B87" s="11" t="s">
        <v>146</v>
      </c>
      <c r="C87" s="11" t="s">
        <v>191</v>
      </c>
      <c r="D87" s="23" t="s">
        <v>171</v>
      </c>
      <c r="E87" s="18">
        <v>99.37</v>
      </c>
      <c r="F87" s="18">
        <v>95.54</v>
      </c>
      <c r="G87" s="18">
        <v>94.72</v>
      </c>
      <c r="H87" s="18">
        <v>94.47</v>
      </c>
      <c r="I87" s="18">
        <v>90.55</v>
      </c>
      <c r="J87" s="18">
        <f t="shared" ref="J87:J95" si="19">AVERAGE(E87:I87)</f>
        <v>94.93</v>
      </c>
      <c r="K87" s="18" t="s">
        <v>203</v>
      </c>
      <c r="L87" s="18" t="s">
        <v>204</v>
      </c>
      <c r="M87" s="18" t="s">
        <v>205</v>
      </c>
      <c r="N87" s="18" t="s">
        <v>206</v>
      </c>
      <c r="O87" s="18" t="s">
        <v>207</v>
      </c>
      <c r="P87" s="18" t="s">
        <v>208</v>
      </c>
      <c r="Q87" s="28"/>
      <c r="R87" s="29"/>
    </row>
    <row r="88" spans="1:18" ht="12.75" x14ac:dyDescent="0.2">
      <c r="A88" s="7" t="s">
        <v>173</v>
      </c>
      <c r="B88" s="7" t="s">
        <v>146</v>
      </c>
      <c r="C88" s="7" t="s">
        <v>191</v>
      </c>
      <c r="D88" s="9" t="s">
        <v>216</v>
      </c>
      <c r="E88" s="9">
        <v>99.43</v>
      </c>
      <c r="F88" s="9">
        <v>95.61</v>
      </c>
      <c r="G88" s="9">
        <v>94.48</v>
      </c>
      <c r="H88" s="9">
        <v>94.3</v>
      </c>
      <c r="I88" s="9">
        <v>90.72</v>
      </c>
      <c r="J88" s="9">
        <f t="shared" si="19"/>
        <v>94.908000000000015</v>
      </c>
      <c r="K88" s="9" t="s">
        <v>217</v>
      </c>
      <c r="L88" s="9" t="s">
        <v>218</v>
      </c>
      <c r="M88" s="9" t="s">
        <v>219</v>
      </c>
      <c r="N88" s="9" t="s">
        <v>220</v>
      </c>
      <c r="O88" s="9" t="s">
        <v>197</v>
      </c>
      <c r="P88" s="9" t="s">
        <v>221</v>
      </c>
      <c r="Q88" s="35"/>
      <c r="R88" s="29"/>
    </row>
    <row r="89" spans="1:18" ht="15" x14ac:dyDescent="0.2">
      <c r="A89" s="7" t="s">
        <v>173</v>
      </c>
      <c r="B89" s="7" t="s">
        <v>146</v>
      </c>
      <c r="C89" s="7" t="s">
        <v>191</v>
      </c>
      <c r="D89" s="9" t="s">
        <v>222</v>
      </c>
      <c r="E89" s="24">
        <v>99.5</v>
      </c>
      <c r="F89" s="24">
        <v>95.74</v>
      </c>
      <c r="G89" s="24">
        <v>94.68</v>
      </c>
      <c r="H89" s="24">
        <v>94.45</v>
      </c>
      <c r="I89" s="24">
        <v>90.65</v>
      </c>
      <c r="J89" s="24">
        <f t="shared" si="19"/>
        <v>95.003999999999991</v>
      </c>
      <c r="K89" s="24">
        <v>85.48</v>
      </c>
      <c r="L89" s="25" t="s">
        <v>223</v>
      </c>
      <c r="M89" s="24" t="s">
        <v>224</v>
      </c>
      <c r="N89" s="24" t="s">
        <v>225</v>
      </c>
      <c r="O89" s="24" t="s">
        <v>226</v>
      </c>
      <c r="P89" s="25" t="s">
        <v>227</v>
      </c>
      <c r="Q89" s="39"/>
      <c r="R89" s="29"/>
    </row>
    <row r="90" spans="1:18" ht="15" x14ac:dyDescent="0.2">
      <c r="A90" s="7" t="s">
        <v>173</v>
      </c>
      <c r="B90" s="7" t="s">
        <v>146</v>
      </c>
      <c r="C90" s="7" t="s">
        <v>191</v>
      </c>
      <c r="D90" s="9" t="s">
        <v>228</v>
      </c>
      <c r="E90" s="24">
        <v>99.5</v>
      </c>
      <c r="F90" s="24">
        <v>95.84</v>
      </c>
      <c r="G90" s="24">
        <v>94.93</v>
      </c>
      <c r="H90" s="24">
        <v>94.22</v>
      </c>
      <c r="I90" s="24">
        <v>90.87</v>
      </c>
      <c r="J90" s="25">
        <f t="shared" si="19"/>
        <v>95.072000000000003</v>
      </c>
      <c r="K90" s="24" t="s">
        <v>229</v>
      </c>
      <c r="L90" s="25" t="s">
        <v>230</v>
      </c>
      <c r="M90" s="25" t="s">
        <v>231</v>
      </c>
      <c r="N90" s="25" t="s">
        <v>232</v>
      </c>
      <c r="O90" s="25" t="s">
        <v>233</v>
      </c>
      <c r="P90" s="24" t="s">
        <v>234</v>
      </c>
      <c r="Q90" s="39"/>
      <c r="R90" s="29"/>
    </row>
    <row r="91" spans="1:18" ht="15" x14ac:dyDescent="0.2">
      <c r="A91" s="7" t="s">
        <v>173</v>
      </c>
      <c r="B91" s="7" t="s">
        <v>146</v>
      </c>
      <c r="C91" s="7" t="s">
        <v>191</v>
      </c>
      <c r="D91" s="9" t="s">
        <v>235</v>
      </c>
      <c r="E91" s="24">
        <v>99.566666666666606</v>
      </c>
      <c r="F91" s="24">
        <v>95.742857142857105</v>
      </c>
      <c r="G91" s="24">
        <v>94.75</v>
      </c>
      <c r="H91" s="24">
        <v>94.35</v>
      </c>
      <c r="I91" s="24">
        <v>90.9</v>
      </c>
      <c r="J91" s="24">
        <f t="shared" si="19"/>
        <v>95.061904761904742</v>
      </c>
      <c r="K91" s="24" t="s">
        <v>236</v>
      </c>
      <c r="L91" s="24" t="s">
        <v>230</v>
      </c>
      <c r="M91" s="24" t="s">
        <v>237</v>
      </c>
      <c r="N91" s="25" t="s">
        <v>238</v>
      </c>
      <c r="O91" s="24" t="s">
        <v>239</v>
      </c>
      <c r="P91" s="25" t="s">
        <v>240</v>
      </c>
      <c r="Q91" s="39"/>
      <c r="R91" s="29"/>
    </row>
    <row r="92" spans="1:18" ht="15" x14ac:dyDescent="0.2">
      <c r="A92" s="7" t="s">
        <v>173</v>
      </c>
      <c r="B92" s="7" t="s">
        <v>146</v>
      </c>
      <c r="C92" s="7" t="s">
        <v>191</v>
      </c>
      <c r="D92" s="9" t="s">
        <v>241</v>
      </c>
      <c r="E92" s="24">
        <v>99.566599999999994</v>
      </c>
      <c r="F92" s="24"/>
      <c r="G92" s="24">
        <v>94.75</v>
      </c>
      <c r="H92" s="24"/>
      <c r="I92" s="24"/>
      <c r="J92" s="24">
        <f t="shared" si="19"/>
        <v>97.158299999999997</v>
      </c>
      <c r="K92" s="25"/>
      <c r="L92" s="25"/>
      <c r="M92" s="25"/>
      <c r="N92" s="25"/>
      <c r="O92" s="24"/>
      <c r="P92" s="25"/>
      <c r="Q92" s="39"/>
      <c r="R92" s="29"/>
    </row>
    <row r="93" spans="1:18" ht="15" x14ac:dyDescent="0.2">
      <c r="A93" s="7" t="s">
        <v>173</v>
      </c>
      <c r="B93" s="7" t="s">
        <v>146</v>
      </c>
      <c r="C93" s="7" t="s">
        <v>191</v>
      </c>
      <c r="D93" s="9" t="s">
        <v>242</v>
      </c>
      <c r="E93" s="26">
        <v>99.36</v>
      </c>
      <c r="F93" s="26">
        <v>95.57</v>
      </c>
      <c r="G93" s="26">
        <v>95.1</v>
      </c>
      <c r="H93" s="26">
        <v>94.4</v>
      </c>
      <c r="I93" s="26">
        <v>90.85</v>
      </c>
      <c r="J93" s="26">
        <f t="shared" si="19"/>
        <v>95.055999999999997</v>
      </c>
      <c r="K93" s="27" t="s">
        <v>243</v>
      </c>
      <c r="L93" s="27" t="s">
        <v>244</v>
      </c>
      <c r="M93" s="27" t="s">
        <v>245</v>
      </c>
      <c r="N93" s="27" t="s">
        <v>246</v>
      </c>
      <c r="O93" s="27">
        <v>67.3</v>
      </c>
      <c r="P93" s="27">
        <v>72.290000000000006</v>
      </c>
      <c r="Q93" s="35"/>
      <c r="R93" s="29"/>
    </row>
    <row r="94" spans="1:18" ht="12.75" x14ac:dyDescent="0.2">
      <c r="A94" s="7" t="s">
        <v>173</v>
      </c>
      <c r="B94" s="7" t="s">
        <v>146</v>
      </c>
      <c r="C94" s="7" t="s">
        <v>191</v>
      </c>
      <c r="D94" s="9" t="s">
        <v>247</v>
      </c>
      <c r="E94" s="9">
        <v>99.38</v>
      </c>
      <c r="F94" s="9">
        <v>95.31</v>
      </c>
      <c r="G94" s="9">
        <v>94.85</v>
      </c>
      <c r="H94" s="9">
        <v>94.38</v>
      </c>
      <c r="I94" s="9">
        <v>90.42</v>
      </c>
      <c r="J94" s="9">
        <f t="shared" si="19"/>
        <v>94.867999999999995</v>
      </c>
      <c r="K94" s="9" t="s">
        <v>248</v>
      </c>
      <c r="L94" s="9" t="s">
        <v>249</v>
      </c>
      <c r="M94" s="9" t="s">
        <v>250</v>
      </c>
      <c r="N94" s="9" t="s">
        <v>251</v>
      </c>
      <c r="O94" s="9">
        <v>66.709999999999994</v>
      </c>
      <c r="P94" s="9">
        <v>71.510000000000005</v>
      </c>
      <c r="Q94" s="35"/>
      <c r="R94" s="29"/>
    </row>
    <row r="95" spans="1:18" ht="12.75" x14ac:dyDescent="0.2">
      <c r="A95" s="7" t="s">
        <v>173</v>
      </c>
      <c r="B95" s="7" t="s">
        <v>146</v>
      </c>
      <c r="C95" s="7" t="s">
        <v>191</v>
      </c>
      <c r="D95" s="9" t="s">
        <v>252</v>
      </c>
      <c r="E95" s="9">
        <v>99.47</v>
      </c>
      <c r="F95" s="9">
        <v>95.43</v>
      </c>
      <c r="G95" s="9">
        <v>94.85</v>
      </c>
      <c r="H95" s="9">
        <v>94.53</v>
      </c>
      <c r="I95" s="9">
        <v>90.88</v>
      </c>
      <c r="J95" s="9">
        <f t="shared" si="19"/>
        <v>95.031999999999996</v>
      </c>
      <c r="K95" s="9" t="s">
        <v>253</v>
      </c>
      <c r="L95" s="9" t="s">
        <v>254</v>
      </c>
      <c r="M95" s="9" t="s">
        <v>255</v>
      </c>
      <c r="N95" s="9" t="s">
        <v>256</v>
      </c>
      <c r="O95" s="9" t="s">
        <v>257</v>
      </c>
      <c r="P95" s="9" t="s">
        <v>258</v>
      </c>
      <c r="Q95" s="35"/>
      <c r="R95" s="29"/>
    </row>
    <row r="96" spans="1:18" ht="12.75" x14ac:dyDescent="0.2">
      <c r="A96" s="54" t="s">
        <v>259</v>
      </c>
      <c r="B96" s="32"/>
      <c r="C96" s="32"/>
      <c r="D96" s="32"/>
      <c r="E96" s="32"/>
      <c r="F96" s="32"/>
      <c r="G96" s="32"/>
      <c r="H96" s="32"/>
      <c r="I96" s="32"/>
      <c r="J96" s="32"/>
      <c r="K96" s="32"/>
      <c r="L96" s="32"/>
      <c r="M96" s="32"/>
      <c r="N96" s="32"/>
      <c r="O96" s="32"/>
      <c r="P96" s="32"/>
      <c r="Q96" s="32"/>
      <c r="R96" s="29"/>
    </row>
    <row r="97" spans="1:18" ht="12.75" x14ac:dyDescent="0.2">
      <c r="A97" s="7" t="s">
        <v>173</v>
      </c>
      <c r="B97" s="7" t="s">
        <v>146</v>
      </c>
      <c r="C97" s="7" t="s">
        <v>191</v>
      </c>
      <c r="D97" s="9" t="s">
        <v>260</v>
      </c>
      <c r="E97" s="9">
        <v>99.42</v>
      </c>
      <c r="F97" s="9">
        <v>94.79</v>
      </c>
      <c r="G97" s="9">
        <v>94.18</v>
      </c>
      <c r="H97" s="9">
        <v>93.78</v>
      </c>
      <c r="I97" s="9">
        <v>89.63</v>
      </c>
      <c r="J97" s="9">
        <f t="shared" ref="J97:J103" si="20">AVERAGE(E97:I97)</f>
        <v>94.359999999999985</v>
      </c>
      <c r="K97" s="9" t="s">
        <v>261</v>
      </c>
      <c r="L97" s="9" t="s">
        <v>262</v>
      </c>
      <c r="M97" s="9" t="s">
        <v>263</v>
      </c>
      <c r="N97" s="9" t="s">
        <v>264</v>
      </c>
      <c r="O97" s="9" t="s">
        <v>265</v>
      </c>
      <c r="P97" s="9" t="s">
        <v>266</v>
      </c>
      <c r="Q97" s="35"/>
      <c r="R97" s="29"/>
    </row>
    <row r="98" spans="1:18" ht="12.75" x14ac:dyDescent="0.2">
      <c r="A98" s="7" t="s">
        <v>173</v>
      </c>
      <c r="B98" s="7" t="s">
        <v>146</v>
      </c>
      <c r="C98" s="7" t="s">
        <v>191</v>
      </c>
      <c r="D98" s="9" t="s">
        <v>267</v>
      </c>
      <c r="E98" s="9">
        <v>99.48</v>
      </c>
      <c r="F98" s="9">
        <v>95.13</v>
      </c>
      <c r="G98" s="9">
        <v>94.48</v>
      </c>
      <c r="H98" s="9">
        <v>94.1</v>
      </c>
      <c r="I98" s="9">
        <v>90.32</v>
      </c>
      <c r="J98" s="9">
        <f t="shared" si="20"/>
        <v>94.702000000000012</v>
      </c>
      <c r="K98" s="9" t="s">
        <v>263</v>
      </c>
      <c r="L98" s="9" t="s">
        <v>268</v>
      </c>
      <c r="M98" s="9" t="s">
        <v>269</v>
      </c>
      <c r="N98" s="9" t="s">
        <v>270</v>
      </c>
      <c r="O98" s="9" t="s">
        <v>213</v>
      </c>
      <c r="P98" s="9" t="s">
        <v>271</v>
      </c>
      <c r="Q98" s="35"/>
      <c r="R98" s="29"/>
    </row>
    <row r="99" spans="1:18" ht="12.75" x14ac:dyDescent="0.2">
      <c r="A99" s="7" t="s">
        <v>173</v>
      </c>
      <c r="B99" s="7" t="s">
        <v>146</v>
      </c>
      <c r="C99" s="7" t="s">
        <v>191</v>
      </c>
      <c r="D99" s="9" t="s">
        <v>272</v>
      </c>
      <c r="E99" s="9">
        <v>99.433329999999998</v>
      </c>
      <c r="F99" s="9">
        <v>95.414289999999994</v>
      </c>
      <c r="G99" s="9">
        <v>94.75</v>
      </c>
      <c r="H99" s="9">
        <v>94.5</v>
      </c>
      <c r="I99" s="9">
        <v>90.716669999999993</v>
      </c>
      <c r="J99" s="9">
        <f t="shared" si="20"/>
        <v>94.962858000000011</v>
      </c>
      <c r="K99" s="9" t="s">
        <v>273</v>
      </c>
      <c r="L99" s="9" t="s">
        <v>226</v>
      </c>
      <c r="M99" s="9" t="s">
        <v>274</v>
      </c>
      <c r="N99" s="9" t="s">
        <v>275</v>
      </c>
      <c r="O99" s="9" t="s">
        <v>276</v>
      </c>
      <c r="P99" s="9" t="s">
        <v>277</v>
      </c>
      <c r="Q99" s="35"/>
      <c r="R99" s="29"/>
    </row>
    <row r="100" spans="1:18" ht="15" x14ac:dyDescent="0.2">
      <c r="A100" s="7" t="s">
        <v>173</v>
      </c>
      <c r="B100" s="7" t="s">
        <v>146</v>
      </c>
      <c r="C100" s="7" t="s">
        <v>191</v>
      </c>
      <c r="D100" s="9" t="s">
        <v>278</v>
      </c>
      <c r="E100" s="9">
        <v>99.36</v>
      </c>
      <c r="F100" s="9">
        <v>95.57</v>
      </c>
      <c r="G100" s="9">
        <v>95.1</v>
      </c>
      <c r="H100" s="9">
        <v>94.4</v>
      </c>
      <c r="I100" s="9">
        <v>90.85</v>
      </c>
      <c r="J100" s="13">
        <f t="shared" si="20"/>
        <v>95.055999999999997</v>
      </c>
      <c r="K100" s="13" t="s">
        <v>243</v>
      </c>
      <c r="L100" s="13" t="s">
        <v>244</v>
      </c>
      <c r="M100" s="13" t="s">
        <v>245</v>
      </c>
      <c r="N100" s="13" t="s">
        <v>246</v>
      </c>
      <c r="O100" s="13">
        <v>67.3</v>
      </c>
      <c r="P100" s="13">
        <v>72.290000000000006</v>
      </c>
      <c r="Q100" s="35"/>
      <c r="R100" s="29"/>
    </row>
    <row r="101" spans="1:18" ht="12.75" x14ac:dyDescent="0.2">
      <c r="A101" s="7" t="s">
        <v>173</v>
      </c>
      <c r="B101" s="7" t="s">
        <v>146</v>
      </c>
      <c r="C101" s="7" t="s">
        <v>191</v>
      </c>
      <c r="D101" s="9" t="s">
        <v>279</v>
      </c>
      <c r="E101" s="9">
        <v>99.466669999999993</v>
      </c>
      <c r="F101" s="9">
        <v>95.271429999999995</v>
      </c>
      <c r="G101" s="9">
        <v>94.916669999999996</v>
      </c>
      <c r="H101" s="9">
        <v>94.433329999999998</v>
      </c>
      <c r="I101" s="9">
        <v>90.866669999999999</v>
      </c>
      <c r="J101" s="9">
        <f t="shared" si="20"/>
        <v>94.990954000000002</v>
      </c>
      <c r="K101" s="9" t="s">
        <v>280</v>
      </c>
      <c r="L101" s="9" t="s">
        <v>281</v>
      </c>
      <c r="M101" s="9" t="s">
        <v>282</v>
      </c>
      <c r="N101" s="9" t="s">
        <v>283</v>
      </c>
      <c r="O101" s="9" t="s">
        <v>284</v>
      </c>
      <c r="P101" s="9" t="s">
        <v>234</v>
      </c>
      <c r="Q101" s="35"/>
      <c r="R101" s="29"/>
    </row>
    <row r="102" spans="1:18" ht="12.75" x14ac:dyDescent="0.2">
      <c r="A102" s="7" t="s">
        <v>173</v>
      </c>
      <c r="B102" s="7" t="s">
        <v>146</v>
      </c>
      <c r="C102" s="7" t="s">
        <v>191</v>
      </c>
      <c r="D102" s="9" t="s">
        <v>285</v>
      </c>
      <c r="E102" s="9">
        <v>99.48</v>
      </c>
      <c r="F102" s="9">
        <v>95.3</v>
      </c>
      <c r="G102" s="9">
        <v>94.22</v>
      </c>
      <c r="H102" s="9">
        <v>94.27</v>
      </c>
      <c r="I102" s="9">
        <v>90.5</v>
      </c>
      <c r="J102" s="9">
        <f t="shared" si="20"/>
        <v>94.753999999999991</v>
      </c>
      <c r="K102" s="9" t="s">
        <v>286</v>
      </c>
      <c r="L102" s="9" t="s">
        <v>287</v>
      </c>
      <c r="M102" s="9" t="s">
        <v>288</v>
      </c>
      <c r="N102" s="9" t="s">
        <v>289</v>
      </c>
      <c r="O102" s="9">
        <v>65.56</v>
      </c>
      <c r="P102" s="9" t="s">
        <v>290</v>
      </c>
      <c r="Q102" s="35"/>
      <c r="R102" s="29"/>
    </row>
    <row r="103" spans="1:18" ht="12.75" x14ac:dyDescent="0.2">
      <c r="A103" s="7" t="s">
        <v>173</v>
      </c>
      <c r="B103" s="7" t="s">
        <v>146</v>
      </c>
      <c r="C103" s="7" t="s">
        <v>191</v>
      </c>
      <c r="D103" s="9" t="s">
        <v>291</v>
      </c>
      <c r="E103" s="9">
        <v>99.43</v>
      </c>
      <c r="F103" s="9">
        <v>95.19</v>
      </c>
      <c r="G103" s="9">
        <v>94.58</v>
      </c>
      <c r="H103" s="9">
        <v>94</v>
      </c>
      <c r="I103" s="9">
        <v>90.4</v>
      </c>
      <c r="J103" s="9">
        <f t="shared" si="20"/>
        <v>94.72</v>
      </c>
      <c r="K103" s="9" t="s">
        <v>292</v>
      </c>
      <c r="L103" s="9" t="s">
        <v>293</v>
      </c>
      <c r="M103" s="9" t="s">
        <v>294</v>
      </c>
      <c r="N103" s="9" t="s">
        <v>295</v>
      </c>
      <c r="O103" s="9" t="s">
        <v>296</v>
      </c>
      <c r="P103" s="9" t="s">
        <v>266</v>
      </c>
      <c r="Q103" s="35"/>
      <c r="R103" s="29"/>
    </row>
    <row r="104" spans="1:18" ht="12.75" x14ac:dyDescent="0.2">
      <c r="A104" s="54" t="s">
        <v>297</v>
      </c>
      <c r="B104" s="32"/>
      <c r="C104" s="32"/>
      <c r="D104" s="32"/>
      <c r="E104" s="32"/>
      <c r="F104" s="32"/>
      <c r="G104" s="32"/>
      <c r="H104" s="32"/>
      <c r="I104" s="32"/>
      <c r="J104" s="32"/>
      <c r="K104" s="32"/>
      <c r="L104" s="32"/>
      <c r="M104" s="32"/>
      <c r="N104" s="32"/>
      <c r="O104" s="32"/>
      <c r="P104" s="32"/>
      <c r="Q104" s="32"/>
      <c r="R104" s="29"/>
    </row>
    <row r="105" spans="1:18" ht="12.75" x14ac:dyDescent="0.2">
      <c r="A105" s="7" t="s">
        <v>173</v>
      </c>
      <c r="B105" s="7" t="s">
        <v>146</v>
      </c>
      <c r="C105" s="7" t="s">
        <v>191</v>
      </c>
      <c r="D105" s="9" t="s">
        <v>298</v>
      </c>
      <c r="E105" s="9">
        <v>99.47</v>
      </c>
      <c r="F105" s="9">
        <v>95.43</v>
      </c>
      <c r="G105" s="9">
        <v>94.85</v>
      </c>
      <c r="H105" s="9">
        <v>94.53</v>
      </c>
      <c r="I105" s="9">
        <v>90.88</v>
      </c>
      <c r="J105" s="9">
        <f>AVERAGE(E105:I105)</f>
        <v>95.031999999999996</v>
      </c>
      <c r="K105" s="9" t="s">
        <v>253</v>
      </c>
      <c r="L105" s="9" t="s">
        <v>254</v>
      </c>
      <c r="M105" s="9" t="s">
        <v>255</v>
      </c>
      <c r="N105" s="9" t="s">
        <v>256</v>
      </c>
      <c r="O105" s="9" t="s">
        <v>257</v>
      </c>
      <c r="P105" s="9" t="s">
        <v>258</v>
      </c>
      <c r="Q105" s="35"/>
      <c r="R105" s="29"/>
    </row>
    <row r="106" spans="1:18" ht="12.75" x14ac:dyDescent="0.2">
      <c r="A106" s="7" t="s">
        <v>173</v>
      </c>
      <c r="B106" s="7" t="s">
        <v>146</v>
      </c>
      <c r="C106" s="7" t="s">
        <v>191</v>
      </c>
      <c r="D106" s="9" t="s">
        <v>299</v>
      </c>
      <c r="E106" s="9"/>
      <c r="F106" s="9"/>
      <c r="G106" s="9"/>
      <c r="H106" s="9"/>
      <c r="I106" s="9"/>
      <c r="J106" s="9"/>
      <c r="K106" s="9"/>
      <c r="L106" s="9"/>
      <c r="M106" s="9"/>
      <c r="N106" s="9"/>
      <c r="O106" s="9"/>
      <c r="P106" s="9"/>
      <c r="Q106" s="35"/>
      <c r="R106" s="29"/>
    </row>
    <row r="107" spans="1:18" ht="12.75" x14ac:dyDescent="0.2">
      <c r="A107" s="7" t="s">
        <v>173</v>
      </c>
      <c r="B107" s="7" t="s">
        <v>146</v>
      </c>
      <c r="C107" s="7" t="s">
        <v>191</v>
      </c>
      <c r="D107" s="9" t="s">
        <v>300</v>
      </c>
      <c r="E107" s="9"/>
      <c r="F107" s="9"/>
      <c r="G107" s="9"/>
      <c r="H107" s="9"/>
      <c r="I107" s="9"/>
      <c r="J107" s="9"/>
      <c r="K107" s="9"/>
      <c r="L107" s="9"/>
      <c r="M107" s="9"/>
      <c r="N107" s="9"/>
      <c r="O107" s="9"/>
      <c r="P107" s="9"/>
      <c r="Q107" s="35"/>
      <c r="R107" s="29"/>
    </row>
    <row r="108" spans="1:18" ht="12.75" x14ac:dyDescent="0.2">
      <c r="A108" s="7" t="s">
        <v>173</v>
      </c>
      <c r="B108" s="7" t="s">
        <v>146</v>
      </c>
      <c r="C108" s="7" t="s">
        <v>191</v>
      </c>
      <c r="D108" s="9" t="s">
        <v>301</v>
      </c>
      <c r="E108" s="9"/>
      <c r="F108" s="9"/>
      <c r="G108" s="9"/>
      <c r="H108" s="9"/>
      <c r="I108" s="9"/>
      <c r="J108" s="9"/>
      <c r="K108" s="9"/>
      <c r="L108" s="9"/>
      <c r="M108" s="9"/>
      <c r="N108" s="9"/>
      <c r="O108" s="9"/>
      <c r="P108" s="9"/>
      <c r="Q108" s="35"/>
      <c r="R108" s="29"/>
    </row>
    <row r="109" spans="1:18" ht="12.75" x14ac:dyDescent="0.2">
      <c r="A109" s="7" t="s">
        <v>173</v>
      </c>
      <c r="B109" s="7" t="s">
        <v>146</v>
      </c>
      <c r="C109" s="7" t="s">
        <v>191</v>
      </c>
      <c r="D109" s="9" t="s">
        <v>302</v>
      </c>
      <c r="E109" s="9"/>
      <c r="F109" s="9"/>
      <c r="G109" s="9"/>
      <c r="H109" s="9"/>
      <c r="I109" s="9"/>
      <c r="J109" s="9"/>
      <c r="K109" s="9"/>
      <c r="L109" s="9"/>
      <c r="M109" s="9"/>
      <c r="N109" s="9"/>
      <c r="O109" s="9"/>
      <c r="P109" s="9"/>
      <c r="Q109" s="35"/>
      <c r="R109" s="29"/>
    </row>
    <row r="110" spans="1:18" ht="12.75" x14ac:dyDescent="0.2">
      <c r="A110" s="7" t="s">
        <v>173</v>
      </c>
      <c r="B110" s="7" t="s">
        <v>146</v>
      </c>
      <c r="C110" s="7" t="s">
        <v>191</v>
      </c>
      <c r="D110" s="9" t="s">
        <v>303</v>
      </c>
      <c r="E110" s="9"/>
      <c r="F110" s="9"/>
      <c r="G110" s="9"/>
      <c r="H110" s="9"/>
      <c r="I110" s="9"/>
      <c r="J110" s="9"/>
      <c r="K110" s="9"/>
      <c r="L110" s="9"/>
      <c r="M110" s="9"/>
      <c r="N110" s="9"/>
      <c r="O110" s="9"/>
      <c r="P110" s="9"/>
      <c r="Q110" s="35"/>
      <c r="R110" s="29"/>
    </row>
  </sheetData>
  <mergeCells count="122">
    <mergeCell ref="A9:P9"/>
    <mergeCell ref="O2:P2"/>
    <mergeCell ref="Q2:R3"/>
    <mergeCell ref="Q4:R4"/>
    <mergeCell ref="Q5:R5"/>
    <mergeCell ref="Q6:R6"/>
    <mergeCell ref="Q7:R7"/>
    <mergeCell ref="Q8:R8"/>
    <mergeCell ref="Q23:R23"/>
    <mergeCell ref="G2:G3"/>
    <mergeCell ref="H2:H3"/>
    <mergeCell ref="I2:I3"/>
    <mergeCell ref="J2:J3"/>
    <mergeCell ref="K2:L2"/>
    <mergeCell ref="M2:N2"/>
    <mergeCell ref="A1:A3"/>
    <mergeCell ref="B1:B3"/>
    <mergeCell ref="C1:C3"/>
    <mergeCell ref="D1:D3"/>
    <mergeCell ref="E1:P1"/>
    <mergeCell ref="E2:E3"/>
    <mergeCell ref="F2:F3"/>
    <mergeCell ref="Q109:R109"/>
    <mergeCell ref="Q110:R110"/>
    <mergeCell ref="Q98:R98"/>
    <mergeCell ref="Q99:R99"/>
    <mergeCell ref="Q100:R100"/>
    <mergeCell ref="Q101:R101"/>
    <mergeCell ref="Q102:R102"/>
    <mergeCell ref="Q103:R103"/>
    <mergeCell ref="Q105:R105"/>
    <mergeCell ref="A104:R104"/>
    <mergeCell ref="Q91:R91"/>
    <mergeCell ref="Q92:R92"/>
    <mergeCell ref="Q93:R93"/>
    <mergeCell ref="Q94:R94"/>
    <mergeCell ref="Q95:R95"/>
    <mergeCell ref="Q97:R97"/>
    <mergeCell ref="Q106:R106"/>
    <mergeCell ref="Q107:R107"/>
    <mergeCell ref="Q108:R108"/>
    <mergeCell ref="A96:R96"/>
    <mergeCell ref="Q80:R80"/>
    <mergeCell ref="Q82:R82"/>
    <mergeCell ref="Q83:R83"/>
    <mergeCell ref="Q84:R84"/>
    <mergeCell ref="Q85:R85"/>
    <mergeCell ref="Q87:R87"/>
    <mergeCell ref="Q88:R88"/>
    <mergeCell ref="Q89:R89"/>
    <mergeCell ref="Q90:R90"/>
    <mergeCell ref="A81:R81"/>
    <mergeCell ref="A86:R86"/>
    <mergeCell ref="Q70:R70"/>
    <mergeCell ref="Q71:R71"/>
    <mergeCell ref="Q72:R72"/>
    <mergeCell ref="Q73:R73"/>
    <mergeCell ref="Q74:R74"/>
    <mergeCell ref="Q75:R75"/>
    <mergeCell ref="Q77:R77"/>
    <mergeCell ref="Q78:R78"/>
    <mergeCell ref="Q79:R79"/>
    <mergeCell ref="A76:R76"/>
    <mergeCell ref="Q53:R53"/>
    <mergeCell ref="A54:R54"/>
    <mergeCell ref="Q55:R55"/>
    <mergeCell ref="Q56:R56"/>
    <mergeCell ref="A58:R58"/>
    <mergeCell ref="Q64:R64"/>
    <mergeCell ref="Q66:R66"/>
    <mergeCell ref="Q67:R67"/>
    <mergeCell ref="Q69:R69"/>
    <mergeCell ref="A68:R68"/>
    <mergeCell ref="Q57:R57"/>
    <mergeCell ref="Q59:R59"/>
    <mergeCell ref="Q60:R60"/>
    <mergeCell ref="Q61:R61"/>
    <mergeCell ref="A62:R62"/>
    <mergeCell ref="Q63:R63"/>
    <mergeCell ref="A65:R65"/>
    <mergeCell ref="Q44:R44"/>
    <mergeCell ref="Q45:R45"/>
    <mergeCell ref="A46:R46"/>
    <mergeCell ref="Q47:R47"/>
    <mergeCell ref="Q48:R48"/>
    <mergeCell ref="A49:R49"/>
    <mergeCell ref="Q50:R50"/>
    <mergeCell ref="Q51:R51"/>
    <mergeCell ref="A52:P52"/>
    <mergeCell ref="A40:R40"/>
    <mergeCell ref="A43:R43"/>
    <mergeCell ref="Q33:R33"/>
    <mergeCell ref="Q35:R35"/>
    <mergeCell ref="Q36:R36"/>
    <mergeCell ref="Q38:R38"/>
    <mergeCell ref="Q39:R39"/>
    <mergeCell ref="Q41:R41"/>
    <mergeCell ref="Q42:R42"/>
    <mergeCell ref="Q19:R19"/>
    <mergeCell ref="A20:P20"/>
    <mergeCell ref="Q21:R21"/>
    <mergeCell ref="Q22:R22"/>
    <mergeCell ref="A24:R24"/>
    <mergeCell ref="A28:P28"/>
    <mergeCell ref="A31:R31"/>
    <mergeCell ref="A34:R34"/>
    <mergeCell ref="A37:R37"/>
    <mergeCell ref="Q25:R25"/>
    <mergeCell ref="Q26:R26"/>
    <mergeCell ref="Q27:R27"/>
    <mergeCell ref="Q29:R29"/>
    <mergeCell ref="Q30:R30"/>
    <mergeCell ref="Q32:R32"/>
    <mergeCell ref="Q10:R10"/>
    <mergeCell ref="Q11:R11"/>
    <mergeCell ref="Q12:R12"/>
    <mergeCell ref="Q13:R13"/>
    <mergeCell ref="A14:R14"/>
    <mergeCell ref="Q15:R15"/>
    <mergeCell ref="Q16:R16"/>
    <mergeCell ref="Q17:R17"/>
    <mergeCell ref="A18:R18"/>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Weitz, Paul Jakob</dc:creator>
  <cp:lastModifiedBy>Weitz, Paul Jakob</cp:lastModifiedBy>
  <dcterms:created xsi:type="dcterms:W3CDTF">2026-07-14T09:54:55Z</dcterms:created>
  <dcterms:modified xsi:type="dcterms:W3CDTF">2026-07-14T09:54:55Z</dcterms:modified>
</cp:coreProperties>
</file>